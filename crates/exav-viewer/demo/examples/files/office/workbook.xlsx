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Data" sheetId="2" state="visible" r:id="rId4"/>
    <sheet name="Charts" sheetId="3" state="visible" r:id="rId5"/>
  </sheets>
  <definedNames>
    <definedName function="false" hidden="false" name="NetByMonth" vbProcedure="false">Budget!$B$9:$G$9</definedName>
    <definedName function="false" hidden="false" name="Spending" vbProcedure="false">Budget!$B$4:$G$8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exav</author>
  </authors>
  <commentList>
    <comment ref="D15" authorId="0">
      <text>
        <r>
          <rPr>
            <sz val="10"/>
            <rFont val="Arial"/>
            <family val="2"/>
          </rPr>
          <t xml:space="preserve">This cell has a comment.</t>
        </r>
      </text>
    </comment>
  </commentList>
</comments>
</file>

<file path=xl/sharedStrings.xml><?xml version="1.0" encoding="utf-8"?>
<sst xmlns="http://schemas.openxmlformats.org/spreadsheetml/2006/main" count="279" uniqueCount="44">
  <si>
    <t xml:space="preserve">Harbour budget, first half</t>
  </si>
  <si>
    <t xml:space="preserve">Amounts in euros; the totals are formulas.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</si>
  <si>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</si>
  <si>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</si>
  <si>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</si>
  <si>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</si>
  <si>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</si>
  <si>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</si>
  <si>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</si>
  <si>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Total</t>
  </si>
  <si>
    <t xml:space="preserve">Share</t>
  </si>
  <si>
    <t xml:space="preserve">Berths let</t>
  </si>
  <si>
    <t xml:space="preserve">Visitors</t>
  </si>
  <si>
    <t xml:space="preserve">Shop</t>
  </si>
  <si>
    <t xml:space="preserve">Fuel</t>
  </si>
  <si>
    <t xml:space="preserve">Repairs</t>
  </si>
  <si>
    <t xml:space="preserve">Net</t>
  </si>
  <si>
    <t xml:space="preserve">Averages and checks</t>
  </si>
  <si>
    <t xml:space="preserve">Average a month</t>
  </si>
  <si>
    <t xml:space="preserve">Best month</t>
  </si>
  <si>
    <t xml:space="preserve">Months in credit</t>
  </si>
  <si>
    <t xml:space="preserve">Largest item</t>
  </si>
  <si>
    <t xml:space="preserve">Rounded share of fuel</t>
  </si>
  <si>
    <t xml:space="preserve">Status</t>
  </si>
  <si>
    <t xml:space="preserve">Lookup: category</t>
  </si>
  <si>
    <t xml:space="preserve">its total</t>
  </si>
  <si>
    <t xml:space="preserve">Link</t>
  </si>
  <si>
    <t xml:space="preserve">exav.org/viewer</t>
  </si>
  <si>
    <t xml:space="preserve">Note on a cell</t>
  </si>
  <si>
    <t xml:space="preserve">hover me</t>
  </si>
  <si>
    <t xml:space="preserve">Date</t>
  </si>
  <si>
    <t xml:space="preserve">Region</t>
  </si>
  <si>
    <t xml:space="preserve">Product</t>
  </si>
  <si>
    <t xml:space="preserve">Units</t>
  </si>
  <si>
    <t xml:space="preserve">Unit price</t>
  </si>
  <si>
    <t xml:space="preserve">Amount</t>
  </si>
  <si>
    <t xml:space="preserve">West</t>
  </si>
  <si>
    <t xml:space="preserve">Mooring</t>
  </si>
  <si>
    <t xml:space="preserve">East</t>
  </si>
  <si>
    <t xml:space="preserve">Power</t>
  </si>
  <si>
    <t xml:space="preserve">North</t>
  </si>
  <si>
    <t xml:space="preserve">South</t>
  </si>
  <si>
    <t xml:space="preserve">Water</t>
  </si>
  <si>
    <t xml:space="preserve"/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</si>
</sst>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€-1809]#,##0"/>
    <numFmt numFmtId="166" formatCode="[$€-1809]#,##0.00"/>
    <numFmt numFmtId="167" formatCode="0.0%"/>
    <numFmt numFmtId="168" formatCode="dd/mm/yyyy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2"/>
    </font>
    <font>
      <i val="true"/>
      <sz val="10"/>
      <color rgb="FF666666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sz val="10"/>
      <color rgb="FF842029"/>
      <name val="Arial"/>
      <family val="2"/>
    </font>
    <font>
      <sz val="10"/>
      <color rgb="FF0F5132"/>
      <name val="Arial"/>
      <family val="2"/>
    </font>
    <font>
      <sz val="10"/>
      <color rgb="FF0000FF"/>
      <name val="Arial"/>
      <family val="2"/>
    </font>
    <font>
      <sz val="1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B4F6C"/>
        <bgColor rgb="FF0F5132"/>
      </patternFill>
    </fill>
    <fill>
      <patternFill patternType="solid">
        <fgColor rgb="FF146C94"/>
        <bgColor rgb="FF008080"/>
      </patternFill>
    </fill>
    <fill>
      <patternFill patternType="solid">
        <fgColor rgb="FFFFF6CC"/>
        <bgColor rgb="FFFFFFFF"/>
      </patternFill>
    </fill>
    <fill>
      <patternFill patternType="solid">
        <fgColor rgb="FFE8F1F5"/>
        <bgColor rgb="FFD1E7DD"/>
      </patternFill>
    </fill>
    <fill>
      <patternFill patternType="solid">
        <fgColor rgb="FFF8D7DA"/>
        <bgColor rgb="FFD9D9D9"/>
      </patternFill>
    </fill>
    <fill>
      <patternFill patternType="solid">
        <fgColor rgb="FFD1E7DD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hair">
        <color rgb="FFCCCCCC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hair">
        <color rgb="FFD6B656"/>
      </left>
      <right style="hair">
        <color rgb="FFD6B656"/>
      </right>
      <top style="hair">
        <color rgb="FFD6B656"/>
      </top>
      <bottom style="hair">
        <color rgb="FFD6B656"/>
      </bottom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center" vertical="center" textRotation="0" wrapText="false" indent="0" shrinkToFit="false"/>
    </xf>
    <xf numFmtId="164" fontId="5" fillId="0" borderId="0" applyFont="true" applyBorder="false" applyAlignment="false" applyProtection="false"/>
    <xf numFmtId="164" fontId="6" fillId="3" borderId="1" applyFont="true" applyBorder="true" applyAlignment="true" applyProtection="false">
      <alignment horizontal="center" vertical="bottom" textRotation="0" wrapText="false" indent="0" shrinkToFit="false"/>
    </xf>
    <xf numFmtId="164" fontId="0" fillId="0" borderId="2" applyFont="false" applyBorder="true" applyAlignment="false" applyProtection="false"/>
    <xf numFmtId="164" fontId="7" fillId="0" borderId="3" applyFont="true" applyBorder="true" applyAlignment="false" applyProtection="false"/>
    <xf numFmtId="164" fontId="0" fillId="4" borderId="4" applyFont="false" applyBorder="true" applyAlignment="false" applyProtection="false"/>
    <xf numFmtId="165" fontId="0" fillId="0" borderId="2" applyFont="false" applyBorder="true" applyAlignment="false" applyProtection="false"/>
    <xf numFmtId="165" fontId="7" fillId="5" borderId="2" applyFont="true" applyBorder="true" applyAlignment="false" applyProtection="false"/>
    <xf numFmtId="165" fontId="7" fillId="5" borderId="3" applyFont="true" applyBorder="true" applyAlignment="false" applyProtection="false"/>
    <xf numFmtId="166" fontId="0" fillId="0" borderId="0" applyFont="false" applyBorder="false" applyAlignment="false" applyProtection="false"/>
    <xf numFmtId="167" fontId="0" fillId="0" borderId="2" applyFont="false" applyBorder="true" applyAlignment="false" applyProtection="false"/>
    <xf numFmtId="167" fontId="7" fillId="5" borderId="3" applyFont="true" applyBorder="true" applyAlignment="false" applyProtection="false"/>
    <xf numFmtId="168" fontId="0" fillId="0" borderId="0" applyFont="false" applyBorder="false" applyAlignment="false" applyProtection="false"/>
    <xf numFmtId="164" fontId="8" fillId="6" borderId="0" applyFont="true" applyBorder="false" applyAlignment="false" applyProtection="false"/>
    <xf numFmtId="164" fontId="9" fillId="7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22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0" fillId="0" borderId="2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2" xfId="2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3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3" xfId="2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3" xfId="3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3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9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itle" xfId="20"/>
    <cellStyle name="note" xfId="21"/>
    <cellStyle name="head" xfId="22"/>
    <cellStyle name="label" xfId="23"/>
    <cellStyle name="labelb" xfId="24"/>
    <cellStyle name="input" xfId="25"/>
    <cellStyle name="eur" xfId="26"/>
    <cellStyle name="eurb" xfId="27"/>
    <cellStyle name="eurtot" xfId="28"/>
    <cellStyle name="eur2" xfId="29"/>
    <cellStyle name="pct" xfId="30"/>
    <cellStyle name="pcttot" xfId="31"/>
    <cellStyle name="date" xfId="32"/>
    <cellStyle name="bad" xfId="33"/>
    <cellStyle name="good" xfId="34"/>
  </cellStyles>
  <dxfs count="3">
    <dxf>
      <fill>
        <patternFill patternType="solid">
          <fgColor rgb="FF146C9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6C94"/>
      <rgbColor rgb="FFCCCCCC"/>
      <rgbColor rgb="FF808080"/>
      <rgbColor rgb="FF9999FF"/>
      <rgbColor rgb="FF8E44AD"/>
      <rgbColor rgb="FFFFF6CC"/>
      <rgbColor rgb="FFE8F1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D6B656"/>
      <rgbColor rgb="FFF6A01A"/>
      <rgbColor rgb="FFFF6600"/>
      <rgbColor rgb="FF666666"/>
      <rgbColor rgb="FF969696"/>
      <rgbColor rgb="FF0B4F6C"/>
      <rgbColor rgb="FF2C7A4B"/>
      <rgbColor rgb="FF0F5132"/>
      <rgbColor rgb="FF333300"/>
      <rgbColor rgb="FF842029"/>
      <rgbColor rgb="FFC0392B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Spending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Budget!$B$3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146c9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146c94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Budget!$A$4:$A$7</c:f>
              <c:strCache>
                <c:ptCount val="4"/>
                <c:pt idx="0">
                  <c:v>Berths let</c:v>
                </c:pt>
                <c:pt idx="1">
                  <c:v>Visitors</c:v>
                </c:pt>
                <c:pt idx="2">
                  <c:v>Shop</c:v>
                </c:pt>
                <c:pt idx="3">
                  <c:v>Fuel</c:v>
                </c:pt>
              </c:strCache>
            </c:strRef>
          </c:cat>
          <c:val>
            <c:numRef>
              <c:f>Budget!$B$4:$B$7</c:f>
              <c:numCache>
                <c:formatCode>[$€-1809]#,##0</c:formatCode>
                <c:ptCount val="4"/>
                <c:pt idx="0">
                  <c:v>11200</c:v>
                </c:pt>
                <c:pt idx="1">
                  <c:v>3100</c:v>
                </c:pt>
                <c:pt idx="2">
                  <c:v>1200</c:v>
                </c:pt>
                <c:pt idx="3">
                  <c:v>900</c:v>
                </c:pt>
              </c:numCache>
            </c:numRef>
          </c:val>
        </c:ser>
        <c:ser>
          <c:idx val="1"/>
          <c:order val="1"/>
          <c:tx>
            <c:strRef>
              <c:f>Budget!$G$3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f6a01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6a01a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Budget!$A$4:$A$7</c:f>
              <c:strCache>
                <c:ptCount val="4"/>
                <c:pt idx="0">
                  <c:v>Berths let</c:v>
                </c:pt>
                <c:pt idx="1">
                  <c:v>Visitors</c:v>
                </c:pt>
                <c:pt idx="2">
                  <c:v>Shop</c:v>
                </c:pt>
                <c:pt idx="3">
                  <c:v>Fuel</c:v>
                </c:pt>
              </c:strCache>
            </c:strRef>
          </c:cat>
          <c:val>
            <c:numRef>
              <c:f>Budget!$G$4:$G$7</c:f>
              <c:numCache>
                <c:formatCode>[$€-1809]#,##0</c:formatCode>
                <c:ptCount val="4"/>
                <c:pt idx="0">
                  <c:v>24900</c:v>
                </c:pt>
                <c:pt idx="1">
                  <c:v>19200</c:v>
                </c:pt>
                <c:pt idx="2">
                  <c:v>5200</c:v>
                </c:pt>
                <c:pt idx="3">
                  <c:v>4400</c:v>
                </c:pt>
              </c:numCache>
            </c:numRef>
          </c:val>
        </c:ser>
        <c:gapWidth val="100"/>
        <c:overlap val="0"/>
        <c:axId val="53633469"/>
        <c:axId val="27171839"/>
      </c:barChart>
      <c:catAx>
        <c:axId val="5363346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7171839"/>
        <c:crosses val="autoZero"/>
        <c:auto val="1"/>
        <c:lblAlgn val="ctr"/>
        <c:lblOffset val="100"/>
        <c:noMultiLvlLbl val="0"/>
      </c:catAx>
      <c:valAx>
        <c:axId val="2717183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[$€-1809]#,##0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3633469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Net income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Budget!$A$9</c:f>
              <c:strCache>
                <c:ptCount val="1"/>
                <c:pt idx="0">
                  <c:v>Net</c:v>
                </c:pt>
              </c:strCache>
            </c:strRef>
          </c:tx>
          <c:spPr>
            <a:solidFill>
              <a:srgbClr val="146c94"/>
            </a:solidFill>
            <a:ln w="0">
              <a:solidFill>
                <a:srgbClr val="146c94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Budget!$B$9:$G$9</c:f>
              <c:numCache>
                <c:formatCode>[$€-1809]#,##0</c:formatCode>
                <c:ptCount val="6"/>
                <c:pt idx="0">
                  <c:v>14300</c:v>
                </c:pt>
                <c:pt idx="1">
                  <c:v>16100</c:v>
                </c:pt>
                <c:pt idx="2">
                  <c:v>16200</c:v>
                </c:pt>
                <c:pt idx="3">
                  <c:v>26600</c:v>
                </c:pt>
                <c:pt idx="4">
                  <c:v>44000</c:v>
                </c:pt>
                <c:pt idx="5">
                  <c:v>52500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562122"/>
        <c:axId val="94120634"/>
      </c:lineChart>
      <c:catAx>
        <c:axId val="7556212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4120634"/>
        <c:crosses val="autoZero"/>
        <c:auto val="1"/>
        <c:lblAlgn val="ctr"/>
        <c:lblOffset val="100"/>
        <c:noMultiLvlLbl val="0"/>
      </c:catAx>
      <c:valAx>
        <c:axId val="9412063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[$€-1809]#,##0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5562122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Share of the 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Budget!$I$3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146c9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46c9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6a01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2c7a4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0392b"/>
              </a:solidFill>
              <a:ln w="0">
                <a:noFill/>
              </a:ln>
            </c:spPr>
          </c:dPt>
          <c:dPt>
            <c:idx val="4"/>
            <c:spPr>
              <a:solidFill>
                <a:srgbClr val="8e44a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146c94"/>
                  </a:solidFill>
                </a:ln>
              </c:spPr>
            </c:leaderLines>
          </c:dLbls>
          <c:val>
            <c:numRef>
              <c:f>Budget!$I$4:$I$8</c:f>
              <c:numCache>
                <c:formatCode>0.0%</c:formatCode>
                <c:ptCount val="5"/>
                <c:pt idx="0">
                  <c:v>0.572775486152033</c:v>
                </c:pt>
                <c:pt idx="1">
                  <c:v>0.319387153800825</c:v>
                </c:pt>
                <c:pt idx="2">
                  <c:v>0.0925162050677666</c:v>
                </c:pt>
                <c:pt idx="3">
                  <c:v>0.0730701237477902</c:v>
                </c:pt>
                <c:pt idx="4">
                  <c:v>-0.0577489687684149</c:v>
                </c:pt>
              </c:numCache>
            </c:numRef>
          </c:val>
        </c:ser>
        <c:firstSliceAng val="0"/>
      </c:pieChart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0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180000</xdr:colOff>
      <xdr:row>1</xdr:row>
      <xdr:rowOff>17280</xdr:rowOff>
    </xdr:from>
    <xdr:to>
      <xdr:col>6</xdr:col>
      <xdr:colOff>343080</xdr:colOff>
      <xdr:row>18</xdr:row>
      <xdr:rowOff>133920</xdr:rowOff>
    </xdr:to>
    <xdr:graphicFrame>
      <xdr:nvGraphicFramePr>
        <xdr:cNvPr id="0" name="Bar chart"/>
        <xdr:cNvGraphicFramePr/>
      </xdr:nvGraphicFramePr>
      <xdr:xfrm>
        <a:off x="180000" y="180000"/>
        <a:ext cx="5040000" cy="288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523080</xdr:colOff>
      <xdr:row>1</xdr:row>
      <xdr:rowOff>17280</xdr:rowOff>
    </xdr:from>
    <xdr:to>
      <xdr:col>12</xdr:col>
      <xdr:colOff>686520</xdr:colOff>
      <xdr:row>18</xdr:row>
      <xdr:rowOff>133920</xdr:rowOff>
    </xdr:to>
    <xdr:graphicFrame>
      <xdr:nvGraphicFramePr>
        <xdr:cNvPr id="1" name="Line chart"/>
        <xdr:cNvGraphicFramePr/>
      </xdr:nvGraphicFramePr>
      <xdr:xfrm>
        <a:off x="5400000" y="180000"/>
        <a:ext cx="5040000" cy="288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180000</xdr:colOff>
      <xdr:row>19</xdr:row>
      <xdr:rowOff>151200</xdr:rowOff>
    </xdr:from>
    <xdr:to>
      <xdr:col>6</xdr:col>
      <xdr:colOff>343080</xdr:colOff>
      <xdr:row>37</xdr:row>
      <xdr:rowOff>105120</xdr:rowOff>
    </xdr:to>
    <xdr:graphicFrame>
      <xdr:nvGraphicFramePr>
        <xdr:cNvPr id="2" name="Pie chart"/>
        <xdr:cNvGraphicFramePr/>
      </xdr:nvGraphicFramePr>
      <xdr:xfrm>
        <a:off x="180000" y="3240000"/>
        <a:ext cx="5040000" cy="288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F121" headerRowCount="1" totalsRowCount="0" totalsRowShown="0">
  <autoFilter ref="A1:F121"/>
  <tableColumns count="6">
    <tableColumn id="1" name="Date"/>
    <tableColumn id="2" name="Region"/>
    <tableColumn id="3" name="Product"/>
    <tableColumn id="4" name="Units"/>
    <tableColumn id="5" name="Unit price"/>
    <tableColumn id="6" name="Amount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v.org/viewer/" TargetMode="Externa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1.45"/>
    <col collapsed="false" customWidth="true" hidden="false" outlineLevel="0" max="7" min="2" style="0" width="12.26"/>
    <col collapsed="false" customWidth="true" hidden="false" outlineLevel="0" max="8" min="8" style="0" width="14.3"/>
    <col collapsed="false" customWidth="true" hidden="false" outlineLevel="0" max="9" min="9" style="0" width="10.21"/>
  </cols>
  <sheetData>
    <row r="1" customFormat="false" ht="31.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2.8" hidden="false" customHeight="false" outlineLevel="0" collapsed="false">
      <c r="A2" s="2" t="s">
        <v>1</v>
      </c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2.8" hidden="false" customHeight="false" outlineLevel="0" collapsed="false">
      <c r="A4" s="4" t="s">
        <v>11</v>
      </c>
      <c r="B4" s="5" t="n">
        <v>11200</v>
      </c>
      <c r="C4" s="5" t="n">
        <v>11800</v>
      </c>
      <c r="D4" s="5" t="n">
        <v>12100</v>
      </c>
      <c r="E4" s="5" t="n">
        <v>15400</v>
      </c>
      <c r="F4" s="5" t="n">
        <v>21800</v>
      </c>
      <c r="G4" s="5" t="n">
        <v>24900</v>
      </c>
      <c r="H4" s="6" t="n">
        <f aca="false">SUM(B4:G4)</f>
        <v>97200</v>
      </c>
      <c r="I4" s="7" t="n">
        <f aca="false">H4/H$9</f>
        <v>0.572775486152033</v>
      </c>
    </row>
    <row r="5" customFormat="false" ht="12.8" hidden="false" customHeight="false" outlineLevel="0" collapsed="false">
      <c r="A5" s="4" t="s">
        <v>12</v>
      </c>
      <c r="B5" s="5" t="n">
        <v>3100</v>
      </c>
      <c r="C5" s="5" t="n">
        <v>3300</v>
      </c>
      <c r="D5" s="5" t="n">
        <v>4800</v>
      </c>
      <c r="E5" s="5" t="n">
        <v>8200</v>
      </c>
      <c r="F5" s="5" t="n">
        <v>15600</v>
      </c>
      <c r="G5" s="5" t="n">
        <v>19200</v>
      </c>
      <c r="H5" s="6" t="n">
        <f aca="false">SUM(B5:G5)</f>
        <v>54200</v>
      </c>
      <c r="I5" s="7" t="n">
        <f aca="false">H5/H$9</f>
        <v>0.319387153800825</v>
      </c>
    </row>
    <row r="6" customFormat="false" ht="12.8" hidden="false" customHeight="false" outlineLevel="0" collapsed="false">
      <c r="A6" s="4" t="s">
        <v>13</v>
      </c>
      <c r="B6" s="5" t="n">
        <v>1200</v>
      </c>
      <c r="C6" s="5" t="n">
        <v>1100</v>
      </c>
      <c r="D6" s="5" t="n">
        <v>1500</v>
      </c>
      <c r="E6" s="5" t="n">
        <v>2600</v>
      </c>
      <c r="F6" s="5" t="n">
        <v>4100</v>
      </c>
      <c r="G6" s="5" t="n">
        <v>5200</v>
      </c>
      <c r="H6" s="6" t="n">
        <f aca="false">SUM(B6:G6)</f>
        <v>15700</v>
      </c>
      <c r="I6" s="7" t="n">
        <f aca="false">H6/H$9</f>
        <v>0.0925162050677666</v>
      </c>
    </row>
    <row r="7" customFormat="false" ht="12.8" hidden="false" customHeight="false" outlineLevel="0" collapsed="false">
      <c r="A7" s="4" t="s">
        <v>14</v>
      </c>
      <c r="B7" s="5" t="n">
        <v>900</v>
      </c>
      <c r="C7" s="5" t="n">
        <v>800</v>
      </c>
      <c r="D7" s="5" t="n">
        <v>1100</v>
      </c>
      <c r="E7" s="5" t="n">
        <v>1900</v>
      </c>
      <c r="F7" s="5" t="n">
        <v>3300</v>
      </c>
      <c r="G7" s="5" t="n">
        <v>4400</v>
      </c>
      <c r="H7" s="6" t="n">
        <f aca="false">SUM(B7:G7)</f>
        <v>12400</v>
      </c>
      <c r="I7" s="7" t="n">
        <f aca="false">H7/H$9</f>
        <v>0.0730701237477902</v>
      </c>
    </row>
    <row r="8" customFormat="false" ht="12.8" hidden="false" customHeight="false" outlineLevel="0" collapsed="false">
      <c r="A8" s="4" t="s">
        <v>15</v>
      </c>
      <c r="B8" s="5" t="n">
        <v>-2100</v>
      </c>
      <c r="C8" s="5" t="n">
        <v>-900</v>
      </c>
      <c r="D8" s="5" t="n">
        <v>-3300</v>
      </c>
      <c r="E8" s="5" t="n">
        <v>-1500</v>
      </c>
      <c r="F8" s="5" t="n">
        <v>-800</v>
      </c>
      <c r="G8" s="5" t="n">
        <v>-1200</v>
      </c>
      <c r="H8" s="6" t="n">
        <f aca="false">SUM(B8:G8)</f>
        <v>-9800</v>
      </c>
      <c r="I8" s="7" t="n">
        <f aca="false">H8/H$9</f>
        <v>-0.0577489687684149</v>
      </c>
    </row>
    <row r="9" customFormat="false" ht="12.8" hidden="false" customHeight="false" outlineLevel="0" collapsed="false">
      <c r="A9" s="8" t="s">
        <v>16</v>
      </c>
      <c r="B9" s="9" t="n">
        <f aca="false">SUM(B4:B8)</f>
        <v>14300</v>
      </c>
      <c r="C9" s="9" t="n">
        <f aca="false">SUM(C4:C8)</f>
        <v>16100</v>
      </c>
      <c r="D9" s="9" t="n">
        <f aca="false">SUM(D4:D8)</f>
        <v>16200</v>
      </c>
      <c r="E9" s="9" t="n">
        <f aca="false">SUM(E4:E8)</f>
        <v>26600</v>
      </c>
      <c r="F9" s="9" t="n">
        <f aca="false">SUM(F4:F8)</f>
        <v>44000</v>
      </c>
      <c r="G9" s="9" t="n">
        <f aca="false">SUM(G4:G8)</f>
        <v>52500</v>
      </c>
      <c r="H9" s="9" t="n">
        <f aca="false">SUM(H4:H8)</f>
        <v>169700</v>
      </c>
      <c r="I9" s="10" t="n">
        <f aca="false">SUM(I4:I8)</f>
        <v>1</v>
      </c>
    </row>
    <row r="11" customFormat="false" ht="12.8" hidden="false" customHeight="false" outlineLevel="0" collapsed="false">
      <c r="A11" s="8" t="s">
        <v>17</v>
      </c>
    </row>
    <row r="12" customFormat="false" ht="12.8" hidden="false" customHeight="false" outlineLevel="0" collapsed="false">
      <c r="A12" s="4" t="s">
        <v>18</v>
      </c>
      <c r="B12" s="5" t="n">
        <f aca="false">AVERAGE(B9:G9)</f>
        <v>28283.3333333333</v>
      </c>
      <c r="C12" s="4" t="s">
        <v>19</v>
      </c>
      <c r="D12" s="0" t="str">
        <f aca="false">INDEX(B3:G3,MATCH(MAX(B9:G9),B9:G9,0))</f>
        <v>Jun</v>
      </c>
      <c r="E12" s="4" t="s">
        <v>20</v>
      </c>
      <c r="F12" s="0" t="n">
        <f aca="false">COUNTIF(B9:G9,"&gt;0")</f>
        <v>6</v>
      </c>
    </row>
    <row r="13" customFormat="false" ht="12.8" hidden="false" customHeight="false" outlineLevel="0" collapsed="false">
      <c r="A13" s="4" t="s">
        <v>21</v>
      </c>
      <c r="B13" s="5" t="n">
        <f aca="false">MAX(B4:G8)</f>
        <v>24900</v>
      </c>
      <c r="C13" s="4" t="s">
        <v>22</v>
      </c>
      <c r="D13" s="7" t="n">
        <f aca="false">ROUND(I7,3)</f>
        <v>0.073</v>
      </c>
      <c r="E13" s="4" t="s">
        <v>23</v>
      </c>
      <c r="F13" s="0" t="str">
        <f aca="false">IF(H9&gt;0,"surplus","deficit")</f>
        <v>surplus</v>
      </c>
    </row>
    <row r="14" customFormat="false" ht="12.8" hidden="false" customHeight="false" outlineLevel="0" collapsed="false">
      <c r="A14" s="4" t="s">
        <v>24</v>
      </c>
      <c r="B14" s="11" t="s">
        <v>13</v>
      </c>
      <c r="C14" s="4" t="s">
        <v>25</v>
      </c>
      <c r="D14" s="5" t="n">
        <f aca="false">VLOOKUP(B14,A4:H8,8,0)</f>
        <v>15700</v>
      </c>
    </row>
    <row r="15" customFormat="false" ht="12.8" hidden="false" customHeight="false" outlineLevel="0" collapsed="false">
      <c r="A15" s="4" t="s">
        <v>26</v>
      </c>
      <c r="B15" s="12" t="s">
        <v>27</v>
      </c>
      <c r="C15" s="4" t="s">
        <v>28</v>
      </c>
      <c r="D15" s="0" t="s">
        <v>29</v>
      </c>
    </row>
  </sheetData>
  <mergeCells count="1">
    <mergeCell ref="A1:I1"/>
  </mergeCells>
  <dataValidations count="1">
    <dataValidation allowBlank="true" errorStyle="stop" errorTitle="Not a category" operator="equal" showDropDown="false" showErrorMessage="true" showInputMessage="false" sqref="B14" type="list">
      <formula1>"Berths let,Visitors,Shop,Fuel,Repairs"</formula1>
      <formula2>0</formula2>
    </dataValidation>
  </dataValidations>
  <hyperlinks>
    <hyperlink ref="B15" r:id="rId2" display="exav.org/viewer"/>
  </hyperlinks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28"/>
    <col collapsed="false" customWidth="true" hidden="false" outlineLevel="0" max="6" min="2" style="0" width="12.26"/>
  </cols>
  <sheetData>
    <row r="1" customFormat="false" ht="12.8" hidden="false" customHeight="false" outlineLevel="0" collapsed="false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</row>
    <row r="2" customFormat="false" ht="12.8" hidden="false" customHeight="false" outlineLevel="0" collapsed="false">
      <c r="A2" s="13" t="n">
        <v>36526</v>
      </c>
      <c r="B2" s="0" t="s">
        <v>36</v>
      </c>
      <c r="C2" s="0" t="s">
        <v>37</v>
      </c>
      <c r="D2" s="0" t="n">
        <v>32</v>
      </c>
      <c r="E2" s="14" t="n">
        <v>15.74</v>
      </c>
      <c r="F2" s="14" t="n">
        <f aca="false">D2*E2</f>
        <v>503.68</v>
      </c>
    </row>
    <row r="3" customFormat="false" ht="12.8" hidden="false" customHeight="false" outlineLevel="0" collapsed="false">
      <c r="A3" s="13" t="n">
        <v>36527</v>
      </c>
      <c r="B3" s="0" t="s">
        <v>38</v>
      </c>
      <c r="C3" s="0" t="s">
        <v>39</v>
      </c>
      <c r="D3" s="0" t="n">
        <v>4</v>
      </c>
      <c r="E3" s="14" t="n">
        <v>48.47</v>
      </c>
      <c r="F3" s="14" t="n">
        <f aca="false">D3*E3</f>
        <v>193.88</v>
      </c>
    </row>
    <row r="4" customFormat="false" ht="12.8" hidden="false" customHeight="false" outlineLevel="0" collapsed="false">
      <c r="A4" s="13" t="n">
        <v>36528</v>
      </c>
      <c r="B4" s="0" t="s">
        <v>40</v>
      </c>
      <c r="C4" s="0" t="s">
        <v>14</v>
      </c>
      <c r="D4" s="0" t="n">
        <v>34</v>
      </c>
      <c r="E4" s="14" t="n">
        <v>7.46</v>
      </c>
      <c r="F4" s="14" t="n">
        <f aca="false">D4*E4</f>
        <v>253.64</v>
      </c>
    </row>
    <row r="5" customFormat="false" ht="12.8" hidden="false" customHeight="false" outlineLevel="0" collapsed="false">
      <c r="A5" s="13" t="n">
        <v>36529</v>
      </c>
      <c r="B5" s="0" t="s">
        <v>41</v>
      </c>
      <c r="C5" s="0" t="s">
        <v>13</v>
      </c>
      <c r="D5" s="0" t="n">
        <v>23</v>
      </c>
      <c r="E5" s="14" t="n">
        <v>27.12</v>
      </c>
      <c r="F5" s="14" t="n">
        <f aca="false">D5*E5</f>
        <v>623.76</v>
      </c>
    </row>
    <row r="6" customFormat="false" ht="12.8" hidden="false" customHeight="false" outlineLevel="0" collapsed="false">
      <c r="A6" s="13" t="n">
        <v>36531</v>
      </c>
      <c r="B6" s="0" t="s">
        <v>36</v>
      </c>
      <c r="C6" s="0" t="s">
        <v>42</v>
      </c>
      <c r="D6" s="0" t="n">
        <v>25</v>
      </c>
      <c r="E6" s="14" t="n">
        <v>11.26</v>
      </c>
      <c r="F6" s="14" t="n">
        <f aca="false">D6*E6</f>
        <v>281.5</v>
      </c>
    </row>
    <row r="7" customFormat="false" ht="12.8" hidden="false" customHeight="false" outlineLevel="0" collapsed="false">
      <c r="A7" s="13" t="n">
        <v>36532</v>
      </c>
      <c r="B7" s="0" t="s">
        <v>38</v>
      </c>
      <c r="C7" s="0" t="s">
        <v>37</v>
      </c>
      <c r="D7" s="0" t="n">
        <v>19</v>
      </c>
      <c r="E7" s="14" t="n">
        <v>44.61</v>
      </c>
      <c r="F7" s="14" t="n">
        <f aca="false">D7*E7</f>
        <v>847.59</v>
      </c>
    </row>
    <row r="8" customFormat="false" ht="12.8" hidden="false" customHeight="false" outlineLevel="0" collapsed="false">
      <c r="A8" s="13" t="n">
        <v>36533</v>
      </c>
      <c r="B8" s="0" t="s">
        <v>40</v>
      </c>
      <c r="C8" s="0" t="s">
        <v>39</v>
      </c>
      <c r="D8" s="0" t="n">
        <v>2</v>
      </c>
      <c r="E8" s="14" t="n">
        <v>24.69</v>
      </c>
      <c r="F8" s="14" t="n">
        <f aca="false">D8*E8</f>
        <v>49.38</v>
      </c>
    </row>
    <row r="9" customFormat="false" ht="12.8" hidden="false" customHeight="false" outlineLevel="0" collapsed="false">
      <c r="A9" s="13" t="n">
        <v>36534</v>
      </c>
      <c r="B9" s="0" t="s">
        <v>41</v>
      </c>
      <c r="C9" s="0" t="s">
        <v>14</v>
      </c>
      <c r="D9" s="0" t="n">
        <v>5</v>
      </c>
      <c r="E9" s="14" t="n">
        <v>31.97</v>
      </c>
      <c r="F9" s="14" t="n">
        <f aca="false">D9*E9</f>
        <v>159.85</v>
      </c>
    </row>
    <row r="10" customFormat="false" ht="12.8" hidden="false" customHeight="false" outlineLevel="0" collapsed="false">
      <c r="A10" s="13" t="n">
        <v>36536</v>
      </c>
      <c r="B10" s="0" t="s">
        <v>36</v>
      </c>
      <c r="C10" s="0" t="s">
        <v>13</v>
      </c>
      <c r="D10" s="0" t="n">
        <v>17</v>
      </c>
      <c r="E10" s="14" t="n">
        <v>36.03</v>
      </c>
      <c r="F10" s="14" t="n">
        <f aca="false">D10*E10</f>
        <v>612.51</v>
      </c>
    </row>
    <row r="11" customFormat="false" ht="12.8" hidden="false" customHeight="false" outlineLevel="0" collapsed="false">
      <c r="A11" s="13" t="n">
        <v>36537</v>
      </c>
      <c r="B11" s="0" t="s">
        <v>38</v>
      </c>
      <c r="C11" s="0" t="s">
        <v>42</v>
      </c>
      <c r="D11" s="0" t="n">
        <v>17</v>
      </c>
      <c r="E11" s="14" t="n">
        <v>44.79</v>
      </c>
      <c r="F11" s="14" t="n">
        <f aca="false">D11*E11</f>
        <v>761.43</v>
      </c>
    </row>
    <row r="12" customFormat="false" ht="12.8" hidden="false" customHeight="false" outlineLevel="0" collapsed="false">
      <c r="A12" s="13" t="n">
        <v>36538</v>
      </c>
      <c r="B12" s="0" t="s">
        <v>40</v>
      </c>
      <c r="C12" s="0" t="s">
        <v>37</v>
      </c>
      <c r="D12" s="0" t="n">
        <v>30</v>
      </c>
      <c r="E12" s="14" t="n">
        <v>18.48</v>
      </c>
      <c r="F12" s="14" t="n">
        <f aca="false">D12*E12</f>
        <v>554.4</v>
      </c>
    </row>
    <row r="13" customFormat="false" ht="12.8" hidden="false" customHeight="false" outlineLevel="0" collapsed="false">
      <c r="A13" s="13" t="n">
        <v>36539</v>
      </c>
      <c r="B13" s="0" t="s">
        <v>41</v>
      </c>
      <c r="C13" s="0" t="s">
        <v>39</v>
      </c>
      <c r="D13" s="0" t="n">
        <v>38</v>
      </c>
      <c r="E13" s="14" t="n">
        <v>39.62</v>
      </c>
      <c r="F13" s="14" t="n">
        <f aca="false">D13*E13</f>
        <v>1505.56</v>
      </c>
    </row>
    <row r="14" customFormat="false" ht="12.8" hidden="false" customHeight="false" outlineLevel="0" collapsed="false">
      <c r="A14" s="13" t="n">
        <v>36541</v>
      </c>
      <c r="B14" s="0" t="s">
        <v>36</v>
      </c>
      <c r="C14" s="0" t="s">
        <v>14</v>
      </c>
      <c r="D14" s="0" t="n">
        <v>26</v>
      </c>
      <c r="E14" s="14" t="n">
        <v>18.98</v>
      </c>
      <c r="F14" s="14" t="n">
        <f aca="false">D14*E14</f>
        <v>493.48</v>
      </c>
    </row>
    <row r="15" customFormat="false" ht="12.8" hidden="false" customHeight="false" outlineLevel="0" collapsed="false">
      <c r="A15" s="13" t="n">
        <v>36542</v>
      </c>
      <c r="B15" s="0" t="s">
        <v>38</v>
      </c>
      <c r="C15" s="0" t="s">
        <v>13</v>
      </c>
      <c r="D15" s="0" t="n">
        <v>28</v>
      </c>
      <c r="E15" s="14" t="n">
        <v>2.09</v>
      </c>
      <c r="F15" s="14" t="n">
        <f aca="false">D15*E15</f>
        <v>58.52</v>
      </c>
    </row>
    <row r="16" customFormat="false" ht="12.8" hidden="false" customHeight="false" outlineLevel="0" collapsed="false">
      <c r="A16" s="13" t="n">
        <v>36543</v>
      </c>
      <c r="B16" s="0" t="s">
        <v>40</v>
      </c>
      <c r="C16" s="0" t="s">
        <v>42</v>
      </c>
      <c r="D16" s="0" t="n">
        <v>3</v>
      </c>
      <c r="E16" s="14" t="n">
        <v>19.31</v>
      </c>
      <c r="F16" s="14" t="n">
        <f aca="false">D16*E16</f>
        <v>57.93</v>
      </c>
    </row>
    <row r="17" customFormat="false" ht="12.8" hidden="false" customHeight="false" outlineLevel="0" collapsed="false">
      <c r="A17" s="13" t="n">
        <v>36544</v>
      </c>
      <c r="B17" s="0" t="s">
        <v>41</v>
      </c>
      <c r="C17" s="0" t="s">
        <v>37</v>
      </c>
      <c r="D17" s="0" t="n">
        <v>38</v>
      </c>
      <c r="E17" s="14" t="n">
        <v>20.21</v>
      </c>
      <c r="F17" s="14" t="n">
        <f aca="false">D17*E17</f>
        <v>767.98</v>
      </c>
    </row>
    <row r="18" customFormat="false" ht="12.8" hidden="false" customHeight="false" outlineLevel="0" collapsed="false">
      <c r="A18" s="13" t="n">
        <v>36546</v>
      </c>
      <c r="B18" s="0" t="s">
        <v>36</v>
      </c>
      <c r="C18" s="0" t="s">
        <v>39</v>
      </c>
      <c r="D18" s="0" t="n">
        <v>2</v>
      </c>
      <c r="E18" s="14" t="n">
        <v>35.94</v>
      </c>
      <c r="F18" s="14" t="n">
        <f aca="false">D18*E18</f>
        <v>71.88</v>
      </c>
    </row>
    <row r="19" customFormat="false" ht="12.8" hidden="false" customHeight="false" outlineLevel="0" collapsed="false">
      <c r="A19" s="13" t="n">
        <v>36547</v>
      </c>
      <c r="B19" s="0" t="s">
        <v>38</v>
      </c>
      <c r="C19" s="0" t="s">
        <v>14</v>
      </c>
      <c r="D19" s="0" t="n">
        <v>35</v>
      </c>
      <c r="E19" s="14" t="n">
        <v>29.34</v>
      </c>
      <c r="F19" s="14" t="n">
        <f aca="false">D19*E19</f>
        <v>1026.9</v>
      </c>
    </row>
    <row r="20" customFormat="false" ht="12.8" hidden="false" customHeight="false" outlineLevel="0" collapsed="false">
      <c r="A20" s="13" t="n">
        <v>36548</v>
      </c>
      <c r="B20" s="0" t="s">
        <v>40</v>
      </c>
      <c r="C20" s="0" t="s">
        <v>13</v>
      </c>
      <c r="D20" s="0" t="n">
        <v>8</v>
      </c>
      <c r="E20" s="14" t="n">
        <v>3.76</v>
      </c>
      <c r="F20" s="14" t="n">
        <f aca="false">D20*E20</f>
        <v>30.08</v>
      </c>
    </row>
    <row r="21" customFormat="false" ht="12.8" hidden="false" customHeight="false" outlineLevel="0" collapsed="false">
      <c r="A21" s="13" t="n">
        <v>36549</v>
      </c>
      <c r="B21" s="0" t="s">
        <v>41</v>
      </c>
      <c r="C21" s="0" t="s">
        <v>42</v>
      </c>
      <c r="D21" s="0" t="n">
        <v>31</v>
      </c>
      <c r="E21" s="14" t="n">
        <v>43</v>
      </c>
      <c r="F21" s="14" t="n">
        <f aca="false">D21*E21</f>
        <v>1333</v>
      </c>
    </row>
    <row r="22" customFormat="false" ht="12.8" hidden="false" customHeight="false" outlineLevel="0" collapsed="false">
      <c r="A22" s="13" t="n">
        <v>36551</v>
      </c>
      <c r="B22" s="0" t="s">
        <v>36</v>
      </c>
      <c r="C22" s="0" t="s">
        <v>37</v>
      </c>
      <c r="D22" s="0" t="n">
        <v>21</v>
      </c>
      <c r="E22" s="14" t="n">
        <v>7.27</v>
      </c>
      <c r="F22" s="14" t="n">
        <f aca="false">D22*E22</f>
        <v>152.67</v>
      </c>
    </row>
    <row r="23" customFormat="false" ht="12.8" hidden="false" customHeight="false" outlineLevel="0" collapsed="false">
      <c r="A23" s="13" t="n">
        <v>36552</v>
      </c>
      <c r="B23" s="0" t="s">
        <v>38</v>
      </c>
      <c r="C23" s="0" t="s">
        <v>39</v>
      </c>
      <c r="D23" s="0" t="n">
        <v>15</v>
      </c>
      <c r="E23" s="14" t="n">
        <v>40.31</v>
      </c>
      <c r="F23" s="14" t="n">
        <f aca="false">D23*E23</f>
        <v>604.65</v>
      </c>
    </row>
    <row r="24" customFormat="false" ht="12.8" hidden="false" customHeight="false" outlineLevel="0" collapsed="false">
      <c r="A24" s="13" t="n">
        <v>36553</v>
      </c>
      <c r="B24" s="0" t="s">
        <v>40</v>
      </c>
      <c r="C24" s="0" t="s">
        <v>14</v>
      </c>
      <c r="D24" s="0" t="n">
        <v>21</v>
      </c>
      <c r="E24" s="14" t="n">
        <v>14.02</v>
      </c>
      <c r="F24" s="14" t="n">
        <f aca="false">D24*E24</f>
        <v>294.42</v>
      </c>
    </row>
    <row r="25" customFormat="false" ht="12.8" hidden="false" customHeight="false" outlineLevel="0" collapsed="false">
      <c r="A25" s="13" t="n">
        <v>36557</v>
      </c>
      <c r="B25" s="0" t="s">
        <v>41</v>
      </c>
      <c r="C25" s="0" t="s">
        <v>13</v>
      </c>
      <c r="D25" s="0" t="n">
        <v>37</v>
      </c>
      <c r="E25" s="14" t="n">
        <v>38.55</v>
      </c>
      <c r="F25" s="14" t="n">
        <f aca="false">D25*E25</f>
        <v>1426.35</v>
      </c>
    </row>
    <row r="26" customFormat="false" ht="12.8" hidden="false" customHeight="false" outlineLevel="0" collapsed="false">
      <c r="A26" s="13" t="n">
        <v>36559</v>
      </c>
      <c r="B26" s="0" t="s">
        <v>36</v>
      </c>
      <c r="C26" s="0" t="s">
        <v>42</v>
      </c>
      <c r="D26" s="0" t="n">
        <v>10</v>
      </c>
      <c r="E26" s="14" t="n">
        <v>45.02</v>
      </c>
      <c r="F26" s="14" t="n">
        <f aca="false">D26*E26</f>
        <v>450.2</v>
      </c>
    </row>
    <row r="27" customFormat="false" ht="12.8" hidden="false" customHeight="false" outlineLevel="0" collapsed="false">
      <c r="A27" s="13" t="n">
        <v>36560</v>
      </c>
      <c r="B27" s="0" t="s">
        <v>38</v>
      </c>
      <c r="C27" s="0" t="s">
        <v>37</v>
      </c>
      <c r="D27" s="0" t="n">
        <v>12</v>
      </c>
      <c r="E27" s="14" t="n">
        <v>43.89</v>
      </c>
      <c r="F27" s="14" t="n">
        <f aca="false">D27*E27</f>
        <v>526.68</v>
      </c>
    </row>
    <row r="28" customFormat="false" ht="12.8" hidden="false" customHeight="false" outlineLevel="0" collapsed="false">
      <c r="A28" s="13" t="n">
        <v>36561</v>
      </c>
      <c r="B28" s="0" t="s">
        <v>40</v>
      </c>
      <c r="C28" s="0" t="s">
        <v>39</v>
      </c>
      <c r="D28" s="0" t="n">
        <v>26</v>
      </c>
      <c r="E28" s="14" t="n">
        <v>50.13</v>
      </c>
      <c r="F28" s="14" t="n">
        <f aca="false">D28*E28</f>
        <v>1303.38</v>
      </c>
    </row>
    <row r="29" customFormat="false" ht="12.8" hidden="false" customHeight="false" outlineLevel="0" collapsed="false">
      <c r="A29" s="13" t="n">
        <v>36562</v>
      </c>
      <c r="B29" s="0" t="s">
        <v>41</v>
      </c>
      <c r="C29" s="0" t="s">
        <v>14</v>
      </c>
      <c r="D29" s="0" t="n">
        <v>9</v>
      </c>
      <c r="E29" s="14" t="n">
        <v>40.14</v>
      </c>
      <c r="F29" s="14" t="n">
        <f aca="false">D29*E29</f>
        <v>361.26</v>
      </c>
    </row>
    <row r="30" customFormat="false" ht="12.8" hidden="false" customHeight="false" outlineLevel="0" collapsed="false">
      <c r="A30" s="13" t="n">
        <v>36564</v>
      </c>
      <c r="B30" s="0" t="s">
        <v>36</v>
      </c>
      <c r="C30" s="0" t="s">
        <v>13</v>
      </c>
      <c r="D30" s="0" t="n">
        <v>1</v>
      </c>
      <c r="E30" s="14" t="n">
        <v>49.56</v>
      </c>
      <c r="F30" s="14" t="n">
        <f aca="false">D30*E30</f>
        <v>49.56</v>
      </c>
    </row>
    <row r="31" customFormat="false" ht="12.8" hidden="false" customHeight="false" outlineLevel="0" collapsed="false">
      <c r="A31" s="13" t="n">
        <v>36565</v>
      </c>
      <c r="B31" s="0" t="s">
        <v>38</v>
      </c>
      <c r="C31" s="0" t="s">
        <v>42</v>
      </c>
      <c r="D31" s="0" t="n">
        <v>27</v>
      </c>
      <c r="E31" s="14" t="n">
        <v>26.86</v>
      </c>
      <c r="F31" s="14" t="n">
        <f aca="false">D31*E31</f>
        <v>725.22</v>
      </c>
    </row>
    <row r="32" customFormat="false" ht="12.8" hidden="false" customHeight="false" outlineLevel="0" collapsed="false">
      <c r="A32" s="13" t="n">
        <v>36566</v>
      </c>
      <c r="B32" s="0" t="s">
        <v>40</v>
      </c>
      <c r="C32" s="0" t="s">
        <v>37</v>
      </c>
      <c r="D32" s="0" t="n">
        <v>38</v>
      </c>
      <c r="E32" s="14" t="n">
        <v>52.95</v>
      </c>
      <c r="F32" s="14" t="n">
        <f aca="false">D32*E32</f>
        <v>2012.1</v>
      </c>
    </row>
    <row r="33" customFormat="false" ht="12.8" hidden="false" customHeight="false" outlineLevel="0" collapsed="false">
      <c r="A33" s="13" t="n">
        <v>36567</v>
      </c>
      <c r="B33" s="0" t="s">
        <v>41</v>
      </c>
      <c r="C33" s="0" t="s">
        <v>39</v>
      </c>
      <c r="D33" s="0" t="n">
        <v>30</v>
      </c>
      <c r="E33" s="14" t="n">
        <v>7.93</v>
      </c>
      <c r="F33" s="14" t="n">
        <f aca="false">D33*E33</f>
        <v>237.9</v>
      </c>
    </row>
    <row r="34" customFormat="false" ht="12.8" hidden="false" customHeight="false" outlineLevel="0" collapsed="false">
      <c r="A34" s="13" t="n">
        <v>36569</v>
      </c>
      <c r="B34" s="0" t="s">
        <v>36</v>
      </c>
      <c r="C34" s="0" t="s">
        <v>14</v>
      </c>
      <c r="D34" s="0" t="n">
        <v>24</v>
      </c>
      <c r="E34" s="14" t="n">
        <v>24.85</v>
      </c>
      <c r="F34" s="14" t="n">
        <f aca="false">D34*E34</f>
        <v>596.4</v>
      </c>
    </row>
    <row r="35" customFormat="false" ht="12.8" hidden="false" customHeight="false" outlineLevel="0" collapsed="false">
      <c r="A35" s="13" t="n">
        <v>36570</v>
      </c>
      <c r="B35" s="0" t="s">
        <v>38</v>
      </c>
      <c r="C35" s="0" t="s">
        <v>13</v>
      </c>
      <c r="D35" s="0" t="n">
        <v>34</v>
      </c>
      <c r="E35" s="14" t="n">
        <v>29.82</v>
      </c>
      <c r="F35" s="14" t="n">
        <f aca="false">D35*E35</f>
        <v>1013.88</v>
      </c>
    </row>
    <row r="36" customFormat="false" ht="12.8" hidden="false" customHeight="false" outlineLevel="0" collapsed="false">
      <c r="A36" s="13" t="n">
        <v>36571</v>
      </c>
      <c r="B36" s="0" t="s">
        <v>40</v>
      </c>
      <c r="C36" s="0" t="s">
        <v>42</v>
      </c>
      <c r="D36" s="0" t="n">
        <v>16</v>
      </c>
      <c r="E36" s="14" t="n">
        <v>42.51</v>
      </c>
      <c r="F36" s="14" t="n">
        <f aca="false">D36*E36</f>
        <v>680.16</v>
      </c>
    </row>
    <row r="37" customFormat="false" ht="12.8" hidden="false" customHeight="false" outlineLevel="0" collapsed="false">
      <c r="A37" s="13" t="n">
        <v>36572</v>
      </c>
      <c r="B37" s="0" t="s">
        <v>41</v>
      </c>
      <c r="C37" s="0" t="s">
        <v>37</v>
      </c>
      <c r="D37" s="0" t="n">
        <v>6</v>
      </c>
      <c r="E37" s="14" t="n">
        <v>18.93</v>
      </c>
      <c r="F37" s="14" t="n">
        <f aca="false">D37*E37</f>
        <v>113.58</v>
      </c>
    </row>
    <row r="38" customFormat="false" ht="12.8" hidden="false" customHeight="false" outlineLevel="0" collapsed="false">
      <c r="A38" s="13" t="n">
        <v>36574</v>
      </c>
      <c r="B38" s="0" t="s">
        <v>36</v>
      </c>
      <c r="C38" s="0" t="s">
        <v>39</v>
      </c>
      <c r="D38" s="0" t="n">
        <v>25</v>
      </c>
      <c r="E38" s="14" t="n">
        <v>17.97</v>
      </c>
      <c r="F38" s="14" t="n">
        <f aca="false">D38*E38</f>
        <v>449.25</v>
      </c>
    </row>
    <row r="39" customFormat="false" ht="12.8" hidden="false" customHeight="false" outlineLevel="0" collapsed="false">
      <c r="A39" s="13" t="n">
        <v>36575</v>
      </c>
      <c r="B39" s="0" t="s">
        <v>38</v>
      </c>
      <c r="C39" s="0" t="s">
        <v>14</v>
      </c>
      <c r="D39" s="0" t="n">
        <v>34</v>
      </c>
      <c r="E39" s="14" t="n">
        <v>34.58</v>
      </c>
      <c r="F39" s="14" t="n">
        <f aca="false">D39*E39</f>
        <v>1175.72</v>
      </c>
    </row>
    <row r="40" customFormat="false" ht="12.8" hidden="false" customHeight="false" outlineLevel="0" collapsed="false">
      <c r="A40" s="13" t="n">
        <v>36576</v>
      </c>
      <c r="B40" s="0" t="s">
        <v>40</v>
      </c>
      <c r="C40" s="0" t="s">
        <v>13</v>
      </c>
      <c r="D40" s="0" t="n">
        <v>16</v>
      </c>
      <c r="E40" s="14" t="n">
        <v>37.55</v>
      </c>
      <c r="F40" s="14" t="n">
        <f aca="false">D40*E40</f>
        <v>600.8</v>
      </c>
    </row>
    <row r="41" customFormat="false" ht="12.8" hidden="false" customHeight="false" outlineLevel="0" collapsed="false">
      <c r="A41" s="13" t="n">
        <v>36577</v>
      </c>
      <c r="B41" s="0" t="s">
        <v>41</v>
      </c>
      <c r="C41" s="0" t="s">
        <v>42</v>
      </c>
      <c r="D41" s="0" t="n">
        <v>16</v>
      </c>
      <c r="E41" s="14" t="n">
        <v>13.41</v>
      </c>
      <c r="F41" s="14" t="n">
        <f aca="false">D41*E41</f>
        <v>214.56</v>
      </c>
    </row>
    <row r="42" customFormat="false" ht="12.8" hidden="false" customHeight="false" outlineLevel="0" collapsed="false">
      <c r="A42" s="13" t="n">
        <v>36579</v>
      </c>
      <c r="B42" s="0" t="s">
        <v>36</v>
      </c>
      <c r="C42" s="0" t="s">
        <v>37</v>
      </c>
      <c r="D42" s="0" t="n">
        <v>32</v>
      </c>
      <c r="E42" s="14" t="n">
        <v>45.32</v>
      </c>
      <c r="F42" s="14" t="n">
        <f aca="false">D42*E42</f>
        <v>1450.24</v>
      </c>
    </row>
    <row r="43" customFormat="false" ht="12.8" hidden="false" customHeight="false" outlineLevel="0" collapsed="false">
      <c r="A43" s="13" t="n">
        <v>36580</v>
      </c>
      <c r="B43" s="0" t="s">
        <v>38</v>
      </c>
      <c r="C43" s="0" t="s">
        <v>39</v>
      </c>
      <c r="D43" s="0" t="n">
        <v>8</v>
      </c>
      <c r="E43" s="14" t="n">
        <v>45.63</v>
      </c>
      <c r="F43" s="14" t="n">
        <f aca="false">D43*E43</f>
        <v>365.04</v>
      </c>
    </row>
    <row r="44" customFormat="false" ht="12.8" hidden="false" customHeight="false" outlineLevel="0" collapsed="false">
      <c r="A44" s="13" t="n">
        <v>36581</v>
      </c>
      <c r="B44" s="0" t="s">
        <v>40</v>
      </c>
      <c r="C44" s="0" t="s">
        <v>14</v>
      </c>
      <c r="D44" s="0" t="n">
        <v>13</v>
      </c>
      <c r="E44" s="14" t="n">
        <v>55.42</v>
      </c>
      <c r="F44" s="14" t="n">
        <f aca="false">D44*E44</f>
        <v>720.46</v>
      </c>
    </row>
    <row r="45" customFormat="false" ht="12.8" hidden="false" customHeight="false" outlineLevel="0" collapsed="false">
      <c r="A45" s="13" t="n">
        <v>36582</v>
      </c>
      <c r="B45" s="0" t="s">
        <v>41</v>
      </c>
      <c r="C45" s="0" t="s">
        <v>13</v>
      </c>
      <c r="D45" s="0" t="n">
        <v>23</v>
      </c>
      <c r="E45" s="14" t="n">
        <v>13.93</v>
      </c>
      <c r="F45" s="14" t="n">
        <f aca="false">D45*E45</f>
        <v>320.39</v>
      </c>
    </row>
    <row r="46" customFormat="false" ht="12.8" hidden="false" customHeight="false" outlineLevel="0" collapsed="false">
      <c r="A46" s="13" t="n">
        <v>36584</v>
      </c>
      <c r="B46" s="0" t="s">
        <v>36</v>
      </c>
      <c r="C46" s="0" t="s">
        <v>42</v>
      </c>
      <c r="D46" s="0" t="n">
        <v>10</v>
      </c>
      <c r="E46" s="14" t="n">
        <v>11.8</v>
      </c>
      <c r="F46" s="14" t="n">
        <f aca="false">D46*E46</f>
        <v>118</v>
      </c>
    </row>
    <row r="47" customFormat="false" ht="12.8" hidden="false" customHeight="false" outlineLevel="0" collapsed="false">
      <c r="A47" s="13" t="n">
        <v>36586</v>
      </c>
      <c r="B47" s="0" t="s">
        <v>38</v>
      </c>
      <c r="C47" s="0" t="s">
        <v>37</v>
      </c>
      <c r="D47" s="0" t="n">
        <v>34</v>
      </c>
      <c r="E47" s="14" t="n">
        <v>57.93</v>
      </c>
      <c r="F47" s="14" t="n">
        <f aca="false">D47*E47</f>
        <v>1969.62</v>
      </c>
    </row>
    <row r="48" customFormat="false" ht="12.8" hidden="false" customHeight="false" outlineLevel="0" collapsed="false">
      <c r="A48" s="13" t="n">
        <v>36587</v>
      </c>
      <c r="B48" s="0" t="s">
        <v>40</v>
      </c>
      <c r="C48" s="0" t="s">
        <v>39</v>
      </c>
      <c r="D48" s="0" t="n">
        <v>38</v>
      </c>
      <c r="E48" s="14" t="n">
        <v>37.2</v>
      </c>
      <c r="F48" s="14" t="n">
        <f aca="false">D48*E48</f>
        <v>1413.6</v>
      </c>
    </row>
    <row r="49" customFormat="false" ht="12.8" hidden="false" customHeight="false" outlineLevel="0" collapsed="false">
      <c r="A49" s="13" t="n">
        <v>36588</v>
      </c>
      <c r="B49" s="0" t="s">
        <v>41</v>
      </c>
      <c r="C49" s="0" t="s">
        <v>14</v>
      </c>
      <c r="D49" s="0" t="n">
        <v>25</v>
      </c>
      <c r="E49" s="14" t="n">
        <v>58.29</v>
      </c>
      <c r="F49" s="14" t="n">
        <f aca="false">D49*E49</f>
        <v>1457.25</v>
      </c>
    </row>
    <row r="50" customFormat="false" ht="12.8" hidden="false" customHeight="false" outlineLevel="0" collapsed="false">
      <c r="A50" s="13" t="n">
        <v>36590</v>
      </c>
      <c r="B50" s="0" t="s">
        <v>36</v>
      </c>
      <c r="C50" s="0" t="s">
        <v>13</v>
      </c>
      <c r="D50" s="0" t="n">
        <v>24</v>
      </c>
      <c r="E50" s="14" t="n">
        <v>47.82</v>
      </c>
      <c r="F50" s="14" t="n">
        <f aca="false">D50*E50</f>
        <v>1147.68</v>
      </c>
    </row>
    <row r="51" customFormat="false" ht="12.8" hidden="false" customHeight="false" outlineLevel="0" collapsed="false">
      <c r="A51" s="13" t="n">
        <v>36591</v>
      </c>
      <c r="B51" s="0" t="s">
        <v>38</v>
      </c>
      <c r="C51" s="0" t="s">
        <v>42</v>
      </c>
      <c r="D51" s="0" t="n">
        <v>31</v>
      </c>
      <c r="E51" s="14" t="n">
        <v>5.14</v>
      </c>
      <c r="F51" s="14" t="n">
        <f aca="false">D51*E51</f>
        <v>159.34</v>
      </c>
    </row>
    <row r="52" customFormat="false" ht="12.8" hidden="false" customHeight="false" outlineLevel="0" collapsed="false">
      <c r="A52" s="13" t="n">
        <v>36592</v>
      </c>
      <c r="B52" s="0" t="s">
        <v>40</v>
      </c>
      <c r="C52" s="0" t="s">
        <v>37</v>
      </c>
      <c r="D52" s="0" t="n">
        <v>21</v>
      </c>
      <c r="E52" s="14" t="n">
        <v>6.92</v>
      </c>
      <c r="F52" s="14" t="n">
        <f aca="false">D52*E52</f>
        <v>145.32</v>
      </c>
    </row>
    <row r="53" customFormat="false" ht="12.8" hidden="false" customHeight="false" outlineLevel="0" collapsed="false">
      <c r="A53" s="13" t="n">
        <v>36593</v>
      </c>
      <c r="B53" s="0" t="s">
        <v>41</v>
      </c>
      <c r="C53" s="0" t="s">
        <v>39</v>
      </c>
      <c r="D53" s="0" t="n">
        <v>15</v>
      </c>
      <c r="E53" s="14" t="n">
        <v>13.22</v>
      </c>
      <c r="F53" s="14" t="n">
        <f aca="false">D53*E53</f>
        <v>198.3</v>
      </c>
    </row>
    <row r="54" customFormat="false" ht="12.8" hidden="false" customHeight="false" outlineLevel="0" collapsed="false">
      <c r="A54" s="13" t="n">
        <v>36595</v>
      </c>
      <c r="B54" s="0" t="s">
        <v>36</v>
      </c>
      <c r="C54" s="0" t="s">
        <v>14</v>
      </c>
      <c r="D54" s="0" t="n">
        <v>28</v>
      </c>
      <c r="E54" s="14" t="n">
        <v>51.8</v>
      </c>
      <c r="F54" s="14" t="n">
        <f aca="false">D54*E54</f>
        <v>1450.4</v>
      </c>
    </row>
    <row r="55" customFormat="false" ht="12.8" hidden="false" customHeight="false" outlineLevel="0" collapsed="false">
      <c r="A55" s="13" t="n">
        <v>36596</v>
      </c>
      <c r="B55" s="0" t="s">
        <v>38</v>
      </c>
      <c r="C55" s="0" t="s">
        <v>13</v>
      </c>
      <c r="D55" s="0" t="n">
        <v>9</v>
      </c>
      <c r="E55" s="14" t="n">
        <v>9.35</v>
      </c>
      <c r="F55" s="14" t="n">
        <f aca="false">D55*E55</f>
        <v>84.15</v>
      </c>
    </row>
    <row r="56" customFormat="false" ht="12.8" hidden="false" customHeight="false" outlineLevel="0" collapsed="false">
      <c r="A56" s="13" t="n">
        <v>36597</v>
      </c>
      <c r="B56" s="0" t="s">
        <v>40</v>
      </c>
      <c r="C56" s="0" t="s">
        <v>42</v>
      </c>
      <c r="D56" s="0" t="n">
        <v>3</v>
      </c>
      <c r="E56" s="14" t="n">
        <v>30.59</v>
      </c>
      <c r="F56" s="14" t="n">
        <f aca="false">D56*E56</f>
        <v>91.77</v>
      </c>
    </row>
    <row r="57" customFormat="false" ht="12.8" hidden="false" customHeight="false" outlineLevel="0" collapsed="false">
      <c r="A57" s="13" t="n">
        <v>36598</v>
      </c>
      <c r="B57" s="0" t="s">
        <v>41</v>
      </c>
      <c r="C57" s="0" t="s">
        <v>37</v>
      </c>
      <c r="D57" s="0" t="n">
        <v>12</v>
      </c>
      <c r="E57" s="14" t="n">
        <v>51.27</v>
      </c>
      <c r="F57" s="14" t="n">
        <f aca="false">D57*E57</f>
        <v>615.24</v>
      </c>
    </row>
    <row r="58" customFormat="false" ht="12.8" hidden="false" customHeight="false" outlineLevel="0" collapsed="false">
      <c r="A58" s="13" t="n">
        <v>36600</v>
      </c>
      <c r="B58" s="0" t="s">
        <v>36</v>
      </c>
      <c r="C58" s="0" t="s">
        <v>39</v>
      </c>
      <c r="D58" s="0" t="n">
        <v>23</v>
      </c>
      <c r="E58" s="14" t="n">
        <v>43.07</v>
      </c>
      <c r="F58" s="14" t="n">
        <f aca="false">D58*E58</f>
        <v>990.61</v>
      </c>
    </row>
    <row r="59" customFormat="false" ht="12.8" hidden="false" customHeight="false" outlineLevel="0" collapsed="false">
      <c r="A59" s="13" t="n">
        <v>36601</v>
      </c>
      <c r="B59" s="0" t="s">
        <v>38</v>
      </c>
      <c r="C59" s="0" t="s">
        <v>14</v>
      </c>
      <c r="D59" s="0" t="n">
        <v>38</v>
      </c>
      <c r="E59" s="14" t="n">
        <v>14.39</v>
      </c>
      <c r="F59" s="14" t="n">
        <f aca="false">D59*E59</f>
        <v>546.82</v>
      </c>
    </row>
    <row r="60" customFormat="false" ht="12.8" hidden="false" customHeight="false" outlineLevel="0" collapsed="false">
      <c r="A60" s="13" t="n">
        <v>36602</v>
      </c>
      <c r="B60" s="0" t="s">
        <v>40</v>
      </c>
      <c r="C60" s="0" t="s">
        <v>13</v>
      </c>
      <c r="D60" s="0" t="n">
        <v>30</v>
      </c>
      <c r="E60" s="14" t="n">
        <v>42.95</v>
      </c>
      <c r="F60" s="14" t="n">
        <f aca="false">D60*E60</f>
        <v>1288.5</v>
      </c>
    </row>
    <row r="61" customFormat="false" ht="12.8" hidden="false" customHeight="false" outlineLevel="0" collapsed="false">
      <c r="A61" s="13" t="n">
        <v>36603</v>
      </c>
      <c r="B61" s="0" t="s">
        <v>41</v>
      </c>
      <c r="C61" s="0" t="s">
        <v>42</v>
      </c>
      <c r="D61" s="0" t="n">
        <v>22</v>
      </c>
      <c r="E61" s="14" t="n">
        <v>5.01</v>
      </c>
      <c r="F61" s="14" t="n">
        <f aca="false">D61*E61</f>
        <v>110.22</v>
      </c>
    </row>
    <row r="62" customFormat="false" ht="12.8" hidden="false" customHeight="false" outlineLevel="0" collapsed="false">
      <c r="A62" s="13" t="n">
        <v>36605</v>
      </c>
      <c r="B62" s="0" t="s">
        <v>36</v>
      </c>
      <c r="C62" s="0" t="s">
        <v>37</v>
      </c>
      <c r="D62" s="0" t="n">
        <v>12</v>
      </c>
      <c r="E62" s="14" t="n">
        <v>23.36</v>
      </c>
      <c r="F62" s="14" t="n">
        <f aca="false">D62*E62</f>
        <v>280.32</v>
      </c>
    </row>
    <row r="63" customFormat="false" ht="12.8" hidden="false" customHeight="false" outlineLevel="0" collapsed="false">
      <c r="A63" s="13" t="n">
        <v>36606</v>
      </c>
      <c r="B63" s="0" t="s">
        <v>38</v>
      </c>
      <c r="C63" s="0" t="s">
        <v>39</v>
      </c>
      <c r="D63" s="0" t="n">
        <v>27</v>
      </c>
      <c r="E63" s="14" t="n">
        <v>36.2</v>
      </c>
      <c r="F63" s="14" t="n">
        <f aca="false">D63*E63</f>
        <v>977.4</v>
      </c>
    </row>
    <row r="64" customFormat="false" ht="12.8" hidden="false" customHeight="false" outlineLevel="0" collapsed="false">
      <c r="A64" s="13" t="n">
        <v>36607</v>
      </c>
      <c r="B64" s="0" t="s">
        <v>40</v>
      </c>
      <c r="C64" s="0" t="s">
        <v>14</v>
      </c>
      <c r="D64" s="0" t="n">
        <v>4</v>
      </c>
      <c r="E64" s="14" t="n">
        <v>40.81</v>
      </c>
      <c r="F64" s="14" t="n">
        <f aca="false">D64*E64</f>
        <v>163.24</v>
      </c>
    </row>
    <row r="65" customFormat="false" ht="12.8" hidden="false" customHeight="false" outlineLevel="0" collapsed="false">
      <c r="A65" s="13" t="n">
        <v>36608</v>
      </c>
      <c r="B65" s="0" t="s">
        <v>41</v>
      </c>
      <c r="C65" s="0" t="s">
        <v>13</v>
      </c>
      <c r="D65" s="0" t="n">
        <v>27</v>
      </c>
      <c r="E65" s="14" t="n">
        <v>32.34</v>
      </c>
      <c r="F65" s="14" t="n">
        <f aca="false">D65*E65</f>
        <v>873.18</v>
      </c>
    </row>
    <row r="66" customFormat="false" ht="12.8" hidden="false" customHeight="false" outlineLevel="0" collapsed="false">
      <c r="A66" s="13" t="n">
        <v>36610</v>
      </c>
      <c r="B66" s="0" t="s">
        <v>36</v>
      </c>
      <c r="C66" s="0" t="s">
        <v>42</v>
      </c>
      <c r="D66" s="0" t="n">
        <v>12</v>
      </c>
      <c r="E66" s="14" t="n">
        <v>13.49</v>
      </c>
      <c r="F66" s="14" t="n">
        <f aca="false">D66*E66</f>
        <v>161.88</v>
      </c>
    </row>
    <row r="67" customFormat="false" ht="12.8" hidden="false" customHeight="false" outlineLevel="0" collapsed="false">
      <c r="A67" s="13" t="n">
        <v>36611</v>
      </c>
      <c r="B67" s="0" t="s">
        <v>38</v>
      </c>
      <c r="C67" s="0" t="s">
        <v>37</v>
      </c>
      <c r="D67" s="0" t="n">
        <v>22</v>
      </c>
      <c r="E67" s="14" t="n">
        <v>30.72</v>
      </c>
      <c r="F67" s="14" t="n">
        <f aca="false">D67*E67</f>
        <v>675.84</v>
      </c>
    </row>
    <row r="68" customFormat="false" ht="12.8" hidden="false" customHeight="false" outlineLevel="0" collapsed="false">
      <c r="A68" s="13" t="n">
        <v>36612</v>
      </c>
      <c r="B68" s="0" t="s">
        <v>40</v>
      </c>
      <c r="C68" s="0" t="s">
        <v>39</v>
      </c>
      <c r="D68" s="0" t="n">
        <v>25</v>
      </c>
      <c r="E68" s="14" t="n">
        <v>29.88</v>
      </c>
      <c r="F68" s="14" t="n">
        <f aca="false">D68*E68</f>
        <v>747</v>
      </c>
    </row>
    <row r="69" customFormat="false" ht="12.8" hidden="false" customHeight="false" outlineLevel="0" collapsed="false">
      <c r="A69" s="13" t="n">
        <v>36613</v>
      </c>
      <c r="B69" s="0" t="s">
        <v>41</v>
      </c>
      <c r="C69" s="0" t="s">
        <v>14</v>
      </c>
      <c r="D69" s="0" t="n">
        <v>5</v>
      </c>
      <c r="E69" s="14" t="n">
        <v>33.1</v>
      </c>
      <c r="F69" s="14" t="n">
        <f aca="false">D69*E69</f>
        <v>165.5</v>
      </c>
    </row>
    <row r="70" customFormat="false" ht="12.8" hidden="false" customHeight="false" outlineLevel="0" collapsed="false">
      <c r="A70" s="13" t="n">
        <v>36618</v>
      </c>
      <c r="B70" s="0" t="s">
        <v>36</v>
      </c>
      <c r="C70" s="0" t="s">
        <v>13</v>
      </c>
      <c r="D70" s="0" t="n">
        <v>29</v>
      </c>
      <c r="E70" s="14" t="n">
        <v>24.83</v>
      </c>
      <c r="F70" s="14" t="n">
        <f aca="false">D70*E70</f>
        <v>720.07</v>
      </c>
    </row>
    <row r="71" customFormat="false" ht="12.8" hidden="false" customHeight="false" outlineLevel="0" collapsed="false">
      <c r="A71" s="13" t="n">
        <v>36619</v>
      </c>
      <c r="B71" s="0" t="s">
        <v>38</v>
      </c>
      <c r="C71" s="0" t="s">
        <v>42</v>
      </c>
      <c r="D71" s="0" t="n">
        <v>31</v>
      </c>
      <c r="E71" s="14" t="n">
        <v>3.14</v>
      </c>
      <c r="F71" s="14" t="n">
        <f aca="false">D71*E71</f>
        <v>97.34</v>
      </c>
    </row>
    <row r="72" customFormat="false" ht="12.8" hidden="false" customHeight="false" outlineLevel="0" collapsed="false">
      <c r="A72" s="13" t="n">
        <v>36620</v>
      </c>
      <c r="B72" s="0" t="s">
        <v>40</v>
      </c>
      <c r="C72" s="0" t="s">
        <v>37</v>
      </c>
      <c r="D72" s="0" t="n">
        <v>25</v>
      </c>
      <c r="E72" s="14" t="n">
        <v>13.9</v>
      </c>
      <c r="F72" s="14" t="n">
        <f aca="false">D72*E72</f>
        <v>347.5</v>
      </c>
    </row>
    <row r="73" customFormat="false" ht="12.8" hidden="false" customHeight="false" outlineLevel="0" collapsed="false">
      <c r="A73" s="13" t="n">
        <v>36621</v>
      </c>
      <c r="B73" s="0" t="s">
        <v>41</v>
      </c>
      <c r="C73" s="0" t="s">
        <v>39</v>
      </c>
      <c r="D73" s="0" t="n">
        <v>21</v>
      </c>
      <c r="E73" s="14" t="n">
        <v>44.99</v>
      </c>
      <c r="F73" s="14" t="n">
        <f aca="false">D73*E73</f>
        <v>944.79</v>
      </c>
    </row>
    <row r="74" customFormat="false" ht="12.8" hidden="false" customHeight="false" outlineLevel="0" collapsed="false">
      <c r="A74" s="13" t="n">
        <v>36623</v>
      </c>
      <c r="B74" s="0" t="s">
        <v>36</v>
      </c>
      <c r="C74" s="0" t="s">
        <v>14</v>
      </c>
      <c r="D74" s="0" t="n">
        <v>27</v>
      </c>
      <c r="E74" s="14" t="n">
        <v>24.07</v>
      </c>
      <c r="F74" s="14" t="n">
        <f aca="false">D74*E74</f>
        <v>649.89</v>
      </c>
    </row>
    <row r="75" customFormat="false" ht="12.8" hidden="false" customHeight="false" outlineLevel="0" collapsed="false">
      <c r="A75" s="13" t="n">
        <v>36624</v>
      </c>
      <c r="B75" s="0" t="s">
        <v>38</v>
      </c>
      <c r="C75" s="0" t="s">
        <v>13</v>
      </c>
      <c r="D75" s="0" t="n">
        <v>16</v>
      </c>
      <c r="E75" s="14" t="n">
        <v>54.75</v>
      </c>
      <c r="F75" s="14" t="n">
        <f aca="false">D75*E75</f>
        <v>876</v>
      </c>
    </row>
    <row r="76" customFormat="false" ht="12.8" hidden="false" customHeight="false" outlineLevel="0" collapsed="false">
      <c r="A76" s="13" t="n">
        <v>36625</v>
      </c>
      <c r="B76" s="0" t="s">
        <v>40</v>
      </c>
      <c r="C76" s="0" t="s">
        <v>42</v>
      </c>
      <c r="D76" s="0" t="n">
        <v>4</v>
      </c>
      <c r="E76" s="14" t="n">
        <v>22.23</v>
      </c>
      <c r="F76" s="14" t="n">
        <f aca="false">D76*E76</f>
        <v>88.92</v>
      </c>
    </row>
    <row r="77" customFormat="false" ht="12.8" hidden="false" customHeight="false" outlineLevel="0" collapsed="false">
      <c r="A77" s="13" t="n">
        <v>36626</v>
      </c>
      <c r="B77" s="0" t="s">
        <v>41</v>
      </c>
      <c r="C77" s="0" t="s">
        <v>37</v>
      </c>
      <c r="D77" s="0" t="n">
        <v>16</v>
      </c>
      <c r="E77" s="14" t="n">
        <v>22.19</v>
      </c>
      <c r="F77" s="14" t="n">
        <f aca="false">D77*E77</f>
        <v>355.04</v>
      </c>
    </row>
    <row r="78" customFormat="false" ht="12.8" hidden="false" customHeight="false" outlineLevel="0" collapsed="false">
      <c r="A78" s="13" t="n">
        <v>36628</v>
      </c>
      <c r="B78" s="0" t="s">
        <v>36</v>
      </c>
      <c r="C78" s="0" t="s">
        <v>39</v>
      </c>
      <c r="D78" s="0" t="n">
        <v>20</v>
      </c>
      <c r="E78" s="14" t="n">
        <v>7.41</v>
      </c>
      <c r="F78" s="14" t="n">
        <f aca="false">D78*E78</f>
        <v>148.2</v>
      </c>
    </row>
    <row r="79" customFormat="false" ht="12.8" hidden="false" customHeight="false" outlineLevel="0" collapsed="false">
      <c r="A79" s="13" t="n">
        <v>36629</v>
      </c>
      <c r="B79" s="0" t="s">
        <v>38</v>
      </c>
      <c r="C79" s="0" t="s">
        <v>14</v>
      </c>
      <c r="D79" s="0" t="n">
        <v>19</v>
      </c>
      <c r="E79" s="14" t="n">
        <v>33.71</v>
      </c>
      <c r="F79" s="14" t="n">
        <f aca="false">D79*E79</f>
        <v>640.49</v>
      </c>
    </row>
    <row r="80" customFormat="false" ht="12.8" hidden="false" customHeight="false" outlineLevel="0" collapsed="false">
      <c r="A80" s="13" t="n">
        <v>36630</v>
      </c>
      <c r="B80" s="0" t="s">
        <v>40</v>
      </c>
      <c r="C80" s="0" t="s">
        <v>13</v>
      </c>
      <c r="D80" s="0" t="n">
        <v>3</v>
      </c>
      <c r="E80" s="14" t="n">
        <v>34.65</v>
      </c>
      <c r="F80" s="14" t="n">
        <f aca="false">D80*E80</f>
        <v>103.95</v>
      </c>
    </row>
    <row r="81" customFormat="false" ht="12.8" hidden="false" customHeight="false" outlineLevel="0" collapsed="false">
      <c r="A81" s="13" t="n">
        <v>36631</v>
      </c>
      <c r="B81" s="0" t="s">
        <v>41</v>
      </c>
      <c r="C81" s="0" t="s">
        <v>42</v>
      </c>
      <c r="D81" s="0" t="n">
        <v>36</v>
      </c>
      <c r="E81" s="14" t="n">
        <v>45.15</v>
      </c>
      <c r="F81" s="14" t="n">
        <f aca="false">D81*E81</f>
        <v>1625.4</v>
      </c>
    </row>
    <row r="82" customFormat="false" ht="12.8" hidden="false" customHeight="false" outlineLevel="0" collapsed="false">
      <c r="A82" s="13" t="n">
        <v>36633</v>
      </c>
      <c r="B82" s="0" t="s">
        <v>36</v>
      </c>
      <c r="C82" s="0" t="s">
        <v>37</v>
      </c>
      <c r="D82" s="0" t="n">
        <v>1</v>
      </c>
      <c r="E82" s="14" t="n">
        <v>50.84</v>
      </c>
      <c r="F82" s="14" t="n">
        <f aca="false">D82*E82</f>
        <v>50.84</v>
      </c>
    </row>
    <row r="83" customFormat="false" ht="12.8" hidden="false" customHeight="false" outlineLevel="0" collapsed="false">
      <c r="A83" s="13" t="n">
        <v>36634</v>
      </c>
      <c r="B83" s="0" t="s">
        <v>38</v>
      </c>
      <c r="C83" s="0" t="s">
        <v>39</v>
      </c>
      <c r="D83" s="0" t="n">
        <v>37</v>
      </c>
      <c r="E83" s="14" t="n">
        <v>45.15</v>
      </c>
      <c r="F83" s="14" t="n">
        <f aca="false">D83*E83</f>
        <v>1670.55</v>
      </c>
    </row>
    <row r="84" customFormat="false" ht="12.8" hidden="false" customHeight="false" outlineLevel="0" collapsed="false">
      <c r="A84" s="13" t="n">
        <v>36635</v>
      </c>
      <c r="B84" s="0" t="s">
        <v>40</v>
      </c>
      <c r="C84" s="0" t="s">
        <v>14</v>
      </c>
      <c r="D84" s="0" t="n">
        <v>6</v>
      </c>
      <c r="E84" s="14" t="n">
        <v>49.57</v>
      </c>
      <c r="F84" s="14" t="n">
        <f aca="false">D84*E84</f>
        <v>297.42</v>
      </c>
    </row>
    <row r="85" customFormat="false" ht="12.8" hidden="false" customHeight="false" outlineLevel="0" collapsed="false">
      <c r="A85" s="13" t="n">
        <v>36636</v>
      </c>
      <c r="B85" s="0" t="s">
        <v>41</v>
      </c>
      <c r="C85" s="0" t="s">
        <v>13</v>
      </c>
      <c r="D85" s="0" t="n">
        <v>32</v>
      </c>
      <c r="E85" s="14" t="n">
        <v>16.72</v>
      </c>
      <c r="F85" s="14" t="n">
        <f aca="false">D85*E85</f>
        <v>535.04</v>
      </c>
    </row>
    <row r="86" customFormat="false" ht="12.8" hidden="false" customHeight="false" outlineLevel="0" collapsed="false">
      <c r="A86" s="13" t="n">
        <v>36638</v>
      </c>
      <c r="B86" s="0" t="s">
        <v>36</v>
      </c>
      <c r="C86" s="0" t="s">
        <v>42</v>
      </c>
      <c r="D86" s="0" t="n">
        <v>22</v>
      </c>
      <c r="E86" s="14" t="n">
        <v>21.88</v>
      </c>
      <c r="F86" s="14" t="n">
        <f aca="false">D86*E86</f>
        <v>481.36</v>
      </c>
    </row>
    <row r="87" customFormat="false" ht="12.8" hidden="false" customHeight="false" outlineLevel="0" collapsed="false">
      <c r="A87" s="13" t="n">
        <v>36639</v>
      </c>
      <c r="B87" s="0" t="s">
        <v>38</v>
      </c>
      <c r="C87" s="0" t="s">
        <v>37</v>
      </c>
      <c r="D87" s="0" t="n">
        <v>19</v>
      </c>
      <c r="E87" s="14" t="n">
        <v>17.18</v>
      </c>
      <c r="F87" s="14" t="n">
        <f aca="false">D87*E87</f>
        <v>326.42</v>
      </c>
    </row>
    <row r="88" customFormat="false" ht="12.8" hidden="false" customHeight="false" outlineLevel="0" collapsed="false">
      <c r="A88" s="13" t="n">
        <v>36640</v>
      </c>
      <c r="B88" s="0" t="s">
        <v>40</v>
      </c>
      <c r="C88" s="0" t="s">
        <v>39</v>
      </c>
      <c r="D88" s="0" t="n">
        <v>20</v>
      </c>
      <c r="E88" s="14" t="n">
        <v>20.44</v>
      </c>
      <c r="F88" s="14" t="n">
        <f aca="false">D88*E88</f>
        <v>408.8</v>
      </c>
    </row>
    <row r="89" customFormat="false" ht="12.8" hidden="false" customHeight="false" outlineLevel="0" collapsed="false">
      <c r="A89" s="13" t="n">
        <v>36641</v>
      </c>
      <c r="B89" s="0" t="s">
        <v>41</v>
      </c>
      <c r="C89" s="0" t="s">
        <v>14</v>
      </c>
      <c r="D89" s="0" t="n">
        <v>23</v>
      </c>
      <c r="E89" s="14" t="n">
        <v>37.88</v>
      </c>
      <c r="F89" s="14" t="n">
        <f aca="false">D89*E89</f>
        <v>871.24</v>
      </c>
    </row>
    <row r="90" customFormat="false" ht="12.8" hidden="false" customHeight="false" outlineLevel="0" collapsed="false">
      <c r="A90" s="13" t="n">
        <v>36643</v>
      </c>
      <c r="B90" s="0" t="s">
        <v>36</v>
      </c>
      <c r="C90" s="0" t="s">
        <v>13</v>
      </c>
      <c r="D90" s="0" t="n">
        <v>7</v>
      </c>
      <c r="E90" s="14" t="n">
        <v>8.06</v>
      </c>
      <c r="F90" s="14" t="n">
        <f aca="false">D90*E90</f>
        <v>56.42</v>
      </c>
    </row>
    <row r="91" customFormat="false" ht="12.8" hidden="false" customHeight="false" outlineLevel="0" collapsed="false">
      <c r="A91" s="13" t="n">
        <v>36644</v>
      </c>
      <c r="B91" s="0" t="s">
        <v>38</v>
      </c>
      <c r="C91" s="0" t="s">
        <v>42</v>
      </c>
      <c r="D91" s="0" t="n">
        <v>23</v>
      </c>
      <c r="E91" s="14" t="n">
        <v>27.66</v>
      </c>
      <c r="F91" s="14" t="n">
        <f aca="false">D91*E91</f>
        <v>636.18</v>
      </c>
    </row>
    <row r="92" customFormat="false" ht="12.8" hidden="false" customHeight="false" outlineLevel="0" collapsed="false">
      <c r="A92" s="13" t="n">
        <v>36647</v>
      </c>
      <c r="B92" s="0" t="s">
        <v>40</v>
      </c>
      <c r="C92" s="0" t="s">
        <v>37</v>
      </c>
      <c r="D92" s="0" t="n">
        <v>37</v>
      </c>
      <c r="E92" s="14" t="n">
        <v>42.99</v>
      </c>
      <c r="F92" s="14" t="n">
        <f aca="false">D92*E92</f>
        <v>1590.63</v>
      </c>
    </row>
    <row r="93" customFormat="false" ht="12.8" hidden="false" customHeight="false" outlineLevel="0" collapsed="false">
      <c r="A93" s="13" t="n">
        <v>36648</v>
      </c>
      <c r="B93" s="0" t="s">
        <v>41</v>
      </c>
      <c r="C93" s="0" t="s">
        <v>39</v>
      </c>
      <c r="D93" s="0" t="n">
        <v>16</v>
      </c>
      <c r="E93" s="14" t="n">
        <v>7.11</v>
      </c>
      <c r="F93" s="14" t="n">
        <f aca="false">D93*E93</f>
        <v>113.76</v>
      </c>
    </row>
    <row r="94" customFormat="false" ht="12.8" hidden="false" customHeight="false" outlineLevel="0" collapsed="false">
      <c r="A94" s="13" t="n">
        <v>36650</v>
      </c>
      <c r="B94" s="0" t="s">
        <v>36</v>
      </c>
      <c r="C94" s="0" t="s">
        <v>14</v>
      </c>
      <c r="D94" s="0" t="n">
        <v>5</v>
      </c>
      <c r="E94" s="14" t="n">
        <v>31.73</v>
      </c>
      <c r="F94" s="14" t="n">
        <f aca="false">D94*E94</f>
        <v>158.65</v>
      </c>
    </row>
    <row r="95" customFormat="false" ht="12.8" hidden="false" customHeight="false" outlineLevel="0" collapsed="false">
      <c r="A95" s="13" t="n">
        <v>36651</v>
      </c>
      <c r="B95" s="0" t="s">
        <v>38</v>
      </c>
      <c r="C95" s="0" t="s">
        <v>13</v>
      </c>
      <c r="D95" s="0" t="n">
        <v>7</v>
      </c>
      <c r="E95" s="14" t="n">
        <v>25.47</v>
      </c>
      <c r="F95" s="14" t="n">
        <f aca="false">D95*E95</f>
        <v>178.29</v>
      </c>
    </row>
    <row r="96" customFormat="false" ht="12.8" hidden="false" customHeight="false" outlineLevel="0" collapsed="false">
      <c r="A96" s="13" t="n">
        <v>36652</v>
      </c>
      <c r="B96" s="0" t="s">
        <v>40</v>
      </c>
      <c r="C96" s="0" t="s">
        <v>42</v>
      </c>
      <c r="D96" s="0" t="n">
        <v>35</v>
      </c>
      <c r="E96" s="14" t="n">
        <v>21.31</v>
      </c>
      <c r="F96" s="14" t="n">
        <f aca="false">D96*E96</f>
        <v>745.85</v>
      </c>
    </row>
    <row r="97" customFormat="false" ht="12.8" hidden="false" customHeight="false" outlineLevel="0" collapsed="false">
      <c r="A97" s="13" t="n">
        <v>36653</v>
      </c>
      <c r="B97" s="0" t="s">
        <v>41</v>
      </c>
      <c r="C97" s="0" t="s">
        <v>37</v>
      </c>
      <c r="D97" s="0" t="n">
        <v>26</v>
      </c>
      <c r="E97" s="14" t="n">
        <v>13.44</v>
      </c>
      <c r="F97" s="14" t="n">
        <f aca="false">D97*E97</f>
        <v>349.44</v>
      </c>
    </row>
    <row r="98" customFormat="false" ht="12.8" hidden="false" customHeight="false" outlineLevel="0" collapsed="false">
      <c r="A98" s="13" t="n">
        <v>36655</v>
      </c>
      <c r="B98" s="0" t="s">
        <v>36</v>
      </c>
      <c r="C98" s="0" t="s">
        <v>39</v>
      </c>
      <c r="D98" s="0" t="n">
        <v>34</v>
      </c>
      <c r="E98" s="14" t="n">
        <v>16.15</v>
      </c>
      <c r="F98" s="14" t="n">
        <f aca="false">D98*E98</f>
        <v>549.1</v>
      </c>
    </row>
    <row r="99" customFormat="false" ht="12.8" hidden="false" customHeight="false" outlineLevel="0" collapsed="false">
      <c r="A99" s="13" t="n">
        <v>36656</v>
      </c>
      <c r="B99" s="0" t="s">
        <v>38</v>
      </c>
      <c r="C99" s="0" t="s">
        <v>14</v>
      </c>
      <c r="D99" s="0" t="n">
        <v>37</v>
      </c>
      <c r="E99" s="14" t="n">
        <v>10.53</v>
      </c>
      <c r="F99" s="14" t="n">
        <f aca="false">D99*E99</f>
        <v>389.61</v>
      </c>
    </row>
    <row r="100" customFormat="false" ht="12.8" hidden="false" customHeight="false" outlineLevel="0" collapsed="false">
      <c r="A100" s="13" t="n">
        <v>36657</v>
      </c>
      <c r="B100" s="0" t="s">
        <v>40</v>
      </c>
      <c r="C100" s="0" t="s">
        <v>13</v>
      </c>
      <c r="D100" s="0" t="n">
        <v>6</v>
      </c>
      <c r="E100" s="14" t="n">
        <v>21.7</v>
      </c>
      <c r="F100" s="14" t="n">
        <f aca="false">D100*E100</f>
        <v>130.2</v>
      </c>
    </row>
    <row r="101" customFormat="false" ht="12.8" hidden="false" customHeight="false" outlineLevel="0" collapsed="false">
      <c r="A101" s="13" t="n">
        <v>36658</v>
      </c>
      <c r="B101" s="0" t="s">
        <v>41</v>
      </c>
      <c r="C101" s="0" t="s">
        <v>42</v>
      </c>
      <c r="D101" s="0" t="n">
        <v>11</v>
      </c>
      <c r="E101" s="14" t="n">
        <v>15.06</v>
      </c>
      <c r="F101" s="14" t="n">
        <f aca="false">D101*E101</f>
        <v>165.66</v>
      </c>
    </row>
    <row r="102" customFormat="false" ht="12.8" hidden="false" customHeight="false" outlineLevel="0" collapsed="false">
      <c r="A102" s="13" t="n">
        <v>36660</v>
      </c>
      <c r="B102" s="0" t="s">
        <v>36</v>
      </c>
      <c r="C102" s="0" t="s">
        <v>37</v>
      </c>
      <c r="D102" s="0" t="n">
        <v>25</v>
      </c>
      <c r="E102" s="14" t="n">
        <v>56.34</v>
      </c>
      <c r="F102" s="14" t="n">
        <f aca="false">D102*E102</f>
        <v>1408.5</v>
      </c>
    </row>
    <row r="103" customFormat="false" ht="12.8" hidden="false" customHeight="false" outlineLevel="0" collapsed="false">
      <c r="A103" s="13" t="n">
        <v>36661</v>
      </c>
      <c r="B103" s="0" t="s">
        <v>38</v>
      </c>
      <c r="C103" s="0" t="s">
        <v>39</v>
      </c>
      <c r="D103" s="0" t="n">
        <v>21</v>
      </c>
      <c r="E103" s="14" t="n">
        <v>9.31</v>
      </c>
      <c r="F103" s="14" t="n">
        <f aca="false">D103*E103</f>
        <v>195.51</v>
      </c>
    </row>
    <row r="104" customFormat="false" ht="12.8" hidden="false" customHeight="false" outlineLevel="0" collapsed="false">
      <c r="A104" s="13" t="n">
        <v>36662</v>
      </c>
      <c r="B104" s="0" t="s">
        <v>40</v>
      </c>
      <c r="C104" s="0" t="s">
        <v>14</v>
      </c>
      <c r="D104" s="0" t="n">
        <v>31</v>
      </c>
      <c r="E104" s="14" t="n">
        <v>40.75</v>
      </c>
      <c r="F104" s="14" t="n">
        <f aca="false">D104*E104</f>
        <v>1263.25</v>
      </c>
    </row>
    <row r="105" customFormat="false" ht="12.8" hidden="false" customHeight="false" outlineLevel="0" collapsed="false">
      <c r="A105" s="13" t="n">
        <v>36663</v>
      </c>
      <c r="B105" s="0" t="s">
        <v>41</v>
      </c>
      <c r="C105" s="0" t="s">
        <v>13</v>
      </c>
      <c r="D105" s="0" t="n">
        <v>17</v>
      </c>
      <c r="E105" s="14" t="n">
        <v>53.31</v>
      </c>
      <c r="F105" s="14" t="n">
        <f aca="false">D105*E105</f>
        <v>906.27</v>
      </c>
    </row>
    <row r="106" customFormat="false" ht="12.8" hidden="false" customHeight="false" outlineLevel="0" collapsed="false">
      <c r="A106" s="13" t="n">
        <v>36665</v>
      </c>
      <c r="B106" s="0" t="s">
        <v>36</v>
      </c>
      <c r="C106" s="0" t="s">
        <v>42</v>
      </c>
      <c r="D106" s="0" t="n">
        <v>37</v>
      </c>
      <c r="E106" s="14" t="n">
        <v>10.33</v>
      </c>
      <c r="F106" s="14" t="n">
        <f aca="false">D106*E106</f>
        <v>382.21</v>
      </c>
    </row>
    <row r="107" customFormat="false" ht="12.8" hidden="false" customHeight="false" outlineLevel="0" collapsed="false">
      <c r="A107" s="13" t="n">
        <v>36666</v>
      </c>
      <c r="B107" s="0" t="s">
        <v>38</v>
      </c>
      <c r="C107" s="0" t="s">
        <v>37</v>
      </c>
      <c r="D107" s="0" t="n">
        <v>39</v>
      </c>
      <c r="E107" s="14" t="n">
        <v>33.16</v>
      </c>
      <c r="F107" s="14" t="n">
        <f aca="false">D107*E107</f>
        <v>1293.24</v>
      </c>
    </row>
    <row r="108" customFormat="false" ht="12.8" hidden="false" customHeight="false" outlineLevel="0" collapsed="false">
      <c r="A108" s="13" t="n">
        <v>36667</v>
      </c>
      <c r="B108" s="0" t="s">
        <v>40</v>
      </c>
      <c r="C108" s="0" t="s">
        <v>39</v>
      </c>
      <c r="D108" s="0" t="n">
        <v>4</v>
      </c>
      <c r="E108" s="14" t="n">
        <v>5.08</v>
      </c>
      <c r="F108" s="14" t="n">
        <f aca="false">D108*E108</f>
        <v>20.32</v>
      </c>
    </row>
    <row r="109" customFormat="false" ht="12.8" hidden="false" customHeight="false" outlineLevel="0" collapsed="false">
      <c r="A109" s="13" t="n">
        <v>36668</v>
      </c>
      <c r="B109" s="0" t="s">
        <v>41</v>
      </c>
      <c r="C109" s="0" t="s">
        <v>14</v>
      </c>
      <c r="D109" s="0" t="n">
        <v>35</v>
      </c>
      <c r="E109" s="14" t="n">
        <v>36.12</v>
      </c>
      <c r="F109" s="14" t="n">
        <f aca="false">D109*E109</f>
        <v>1264.2</v>
      </c>
    </row>
    <row r="110" customFormat="false" ht="12.8" hidden="false" customHeight="false" outlineLevel="0" collapsed="false">
      <c r="A110" s="13" t="n">
        <v>36670</v>
      </c>
      <c r="B110" s="0" t="s">
        <v>36</v>
      </c>
      <c r="C110" s="0" t="s">
        <v>13</v>
      </c>
      <c r="D110" s="0" t="n">
        <v>2</v>
      </c>
      <c r="E110" s="14" t="n">
        <v>46.53</v>
      </c>
      <c r="F110" s="14" t="n">
        <f aca="false">D110*E110</f>
        <v>93.06</v>
      </c>
    </row>
    <row r="111" customFormat="false" ht="12.8" hidden="false" customHeight="false" outlineLevel="0" collapsed="false">
      <c r="A111" s="13" t="n">
        <v>36671</v>
      </c>
      <c r="B111" s="0" t="s">
        <v>38</v>
      </c>
      <c r="C111" s="0" t="s">
        <v>42</v>
      </c>
      <c r="D111" s="0" t="n">
        <v>7</v>
      </c>
      <c r="E111" s="14" t="n">
        <v>56.38</v>
      </c>
      <c r="F111" s="14" t="n">
        <f aca="false">D111*E111</f>
        <v>394.66</v>
      </c>
    </row>
    <row r="112" customFormat="false" ht="12.8" hidden="false" customHeight="false" outlineLevel="0" collapsed="false">
      <c r="A112" s="13" t="n">
        <v>36672</v>
      </c>
      <c r="B112" s="0" t="s">
        <v>40</v>
      </c>
      <c r="C112" s="0" t="s">
        <v>37</v>
      </c>
      <c r="D112" s="0" t="n">
        <v>12</v>
      </c>
      <c r="E112" s="14" t="n">
        <v>2.52</v>
      </c>
      <c r="F112" s="14" t="n">
        <f aca="false">D112*E112</f>
        <v>30.24</v>
      </c>
    </row>
    <row r="113" customFormat="false" ht="12.8" hidden="false" customHeight="false" outlineLevel="0" collapsed="false">
      <c r="A113" s="13" t="n">
        <v>36673</v>
      </c>
      <c r="B113" s="0" t="s">
        <v>41</v>
      </c>
      <c r="C113" s="0" t="s">
        <v>39</v>
      </c>
      <c r="D113" s="0" t="n">
        <v>21</v>
      </c>
      <c r="E113" s="14" t="n">
        <v>5.73</v>
      </c>
      <c r="F113" s="14" t="n">
        <f aca="false">D113*E113</f>
        <v>120.33</v>
      </c>
    </row>
    <row r="114" customFormat="false" ht="12.8" hidden="false" customHeight="false" outlineLevel="0" collapsed="false">
      <c r="A114" s="13" t="n">
        <v>36678</v>
      </c>
      <c r="B114" s="0" t="s">
        <v>36</v>
      </c>
      <c r="C114" s="0" t="s">
        <v>14</v>
      </c>
      <c r="D114" s="0" t="n">
        <v>5</v>
      </c>
      <c r="E114" s="14" t="n">
        <v>51.14</v>
      </c>
      <c r="F114" s="14" t="n">
        <f aca="false">D114*E114</f>
        <v>255.7</v>
      </c>
    </row>
    <row r="115" customFormat="false" ht="12.8" hidden="false" customHeight="false" outlineLevel="0" collapsed="false">
      <c r="A115" s="13" t="n">
        <v>36679</v>
      </c>
      <c r="B115" s="0" t="s">
        <v>38</v>
      </c>
      <c r="C115" s="0" t="s">
        <v>13</v>
      </c>
      <c r="D115" s="0" t="n">
        <v>17</v>
      </c>
      <c r="E115" s="14" t="n">
        <v>15.73</v>
      </c>
      <c r="F115" s="14" t="n">
        <f aca="false">D115*E115</f>
        <v>267.41</v>
      </c>
    </row>
    <row r="116" customFormat="false" ht="12.8" hidden="false" customHeight="false" outlineLevel="0" collapsed="false">
      <c r="A116" s="13" t="n">
        <v>36680</v>
      </c>
      <c r="B116" s="0" t="s">
        <v>40</v>
      </c>
      <c r="C116" s="0" t="s">
        <v>42</v>
      </c>
      <c r="D116" s="0" t="n">
        <v>5</v>
      </c>
      <c r="E116" s="14" t="n">
        <v>25.51</v>
      </c>
      <c r="F116" s="14" t="n">
        <f aca="false">D116*E116</f>
        <v>127.55</v>
      </c>
    </row>
    <row r="117" customFormat="false" ht="12.8" hidden="false" customHeight="false" outlineLevel="0" collapsed="false">
      <c r="A117" s="13" t="n">
        <v>36681</v>
      </c>
      <c r="B117" s="0" t="s">
        <v>41</v>
      </c>
      <c r="C117" s="0" t="s">
        <v>37</v>
      </c>
      <c r="D117" s="0" t="n">
        <v>27</v>
      </c>
      <c r="E117" s="14" t="n">
        <v>17.38</v>
      </c>
      <c r="F117" s="14" t="n">
        <f aca="false">D117*E117</f>
        <v>469.26</v>
      </c>
    </row>
    <row r="118" customFormat="false" ht="12.8" hidden="false" customHeight="false" outlineLevel="0" collapsed="false">
      <c r="A118" s="13" t="n">
        <v>36683</v>
      </c>
      <c r="B118" s="0" t="s">
        <v>36</v>
      </c>
      <c r="C118" s="0" t="s">
        <v>39</v>
      </c>
      <c r="D118" s="0" t="n">
        <v>39</v>
      </c>
      <c r="E118" s="14" t="n">
        <v>19.88</v>
      </c>
      <c r="F118" s="14" t="n">
        <f aca="false">D118*E118</f>
        <v>775.32</v>
      </c>
    </row>
    <row r="119" customFormat="false" ht="12.8" hidden="false" customHeight="false" outlineLevel="0" collapsed="false">
      <c r="A119" s="13" t="n">
        <v>36684</v>
      </c>
      <c r="B119" s="0" t="s">
        <v>38</v>
      </c>
      <c r="C119" s="0" t="s">
        <v>14</v>
      </c>
      <c r="D119" s="0" t="n">
        <v>28</v>
      </c>
      <c r="E119" s="14" t="n">
        <v>23.57</v>
      </c>
      <c r="F119" s="14" t="n">
        <f aca="false">D119*E119</f>
        <v>659.96</v>
      </c>
    </row>
    <row r="120" customFormat="false" ht="12.8" hidden="false" customHeight="false" outlineLevel="0" collapsed="false">
      <c r="A120" s="13" t="n">
        <v>36685</v>
      </c>
      <c r="B120" s="0" t="s">
        <v>40</v>
      </c>
      <c r="C120" s="0" t="s">
        <v>13</v>
      </c>
      <c r="D120" s="0" t="n">
        <v>18</v>
      </c>
      <c r="E120" s="14" t="n">
        <v>30.72</v>
      </c>
      <c r="F120" s="14" t="n">
        <f aca="false">D120*E120</f>
        <v>552.96</v>
      </c>
    </row>
    <row r="121" customFormat="false" ht="12.8" hidden="false" customHeight="false" outlineLevel="0" collapsed="false">
      <c r="A121" s="13" t="n">
        <v>36686</v>
      </c>
      <c r="B121" s="0" t="s">
        <v>41</v>
      </c>
      <c r="C121" s="0" t="s">
        <v>42</v>
      </c>
      <c r="D121" s="0" t="n">
        <v>30</v>
      </c>
      <c r="E121" s="14" t="n">
        <v>47.47</v>
      </c>
      <c r="F121" s="14" t="n">
        <f aca="false">D121*E121</f>
        <v>1424.1</v>
      </c>
    </row>
    <row r="122" customFormat="false" ht="12.8" hidden="false" customHeight="false" outlineLevel="0" collapsed="false">
      <c r="A122" s="8" t="s">
        <v>9</v>
      </c>
      <c r="D122" s="9" t="n">
        <f aca="false">SUM(D2:D121)</f>
        <v>2479</v>
      </c>
      <c r="F122" s="9" t="n">
        <f aca="false">SUBTOTAL(9,F2:F121)</f>
        <v>70070.1</v>
      </c>
    </row>
  </sheetData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43</v>
      </c>
    </row>
  </sheetData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:creator>exav project</dc:creator>
  <dc:description/>
  <dc:language>en-US</dc:language>
  <cp:lastModifiedBy/>
  <cp:revision>0</cp:revision>
  <dc:subject>A workbook made for the exav demo (CC0-1.0)</dc:subject>
  <dc:title>Harbour workbook</dc:title>
</cp:coreProperties>
</file>